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Research-Chatbot\AI_Predictor\"/>
    </mc:Choice>
  </mc:AlternateContent>
  <xr:revisionPtr revIDLastSave="0" documentId="13_ncr:1_{05312737-36C7-4E2B-BEDA-97B648718696}" xr6:coauthVersionLast="47" xr6:coauthVersionMax="47" xr10:uidLastSave="{00000000-0000-0000-0000-000000000000}"/>
  <bookViews>
    <workbookView xWindow="-108" yWindow="-108" windowWidth="23256" windowHeight="12576" tabRatio="599" firstSheet="8" activeTab="13" xr2:uid="{00000000-000D-0000-FFFF-FFFF00000000}"/>
  </bookViews>
  <sheets>
    <sheet name="Milk Yield 19-20, 20-21" sheetId="1" r:id="rId1"/>
    <sheet name="Milk Yield 20-21, 21-22" sheetId="8" r:id="rId2"/>
    <sheet name="Herd" sheetId="2" state="hidden" r:id="rId3"/>
    <sheet name="Herd (2)" sheetId="4" state="hidden" r:id="rId4"/>
    <sheet name="Herd 16.05.2020" sheetId="5" state="hidden" r:id="rId5"/>
    <sheet name="Herd 30.09.2020" sheetId="6" state="hidden" r:id="rId6"/>
    <sheet name="Herd 05.12.2020" sheetId="7" r:id="rId7"/>
    <sheet name="Herd 01.04.2022" sheetId="9" r:id="rId8"/>
    <sheet name="Herd 24.08.2023" sheetId="10" r:id="rId9"/>
    <sheet name="Herd 01.03.2024" sheetId="11" r:id="rId10"/>
    <sheet name="Herd 15.06.2024" sheetId="12" r:id="rId11"/>
    <sheet name="Herd 30.01.2025" sheetId="14" r:id="rId12"/>
    <sheet name="Herd 01.05.2025" sheetId="16" r:id="rId13"/>
    <sheet name="Herd 09.07.2025" sheetId="18" r:id="rId14"/>
  </sheets>
  <definedNames>
    <definedName name="_xlnm._FilterDatabase" localSheetId="9" hidden="1">'Herd 01.03.2024'!$A$2:$O$49</definedName>
    <definedName name="_xlnm._FilterDatabase" localSheetId="7" hidden="1">'Herd 01.04.2022'!$A$2:$Q$2</definedName>
    <definedName name="_xlnm._FilterDatabase" localSheetId="6" hidden="1">'Herd 05.12.2020'!$A$2:$Q$2</definedName>
    <definedName name="_xlnm._FilterDatabase" localSheetId="10" hidden="1">'Herd 15.06.2024'!$A$2:$O$49</definedName>
    <definedName name="_xlnm._FilterDatabase" localSheetId="4" hidden="1">'Herd 16.05.2020'!$A$2:$R$2</definedName>
    <definedName name="_xlnm._FilterDatabase" localSheetId="8" hidden="1">'Herd 24.08.2023'!$A$1:$O$58</definedName>
    <definedName name="_xlnm._FilterDatabase" localSheetId="5" hidden="1">'Herd 30.09.2020'!$A$2:$P$2</definedName>
    <definedName name="_xlnm.Print_Area" localSheetId="1">'Milk Yield 20-21, 21-22'!$A$56:$U$109</definedName>
    <definedName name="S__NO." localSheetId="13">'Herd 09.07.2025'!$A$1:$P$53</definedName>
    <definedName name="S__NO.">'Herd 01.05.2025'!$A$1:$P$53</definedName>
    <definedName name="Sheet1" localSheetId="13">'Herd 09.07.2025'!$A$1:$P$53</definedName>
    <definedName name="Sheet1">'Herd 01.05.2025'!$A$1:$P$53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9" i="18" l="1"/>
  <c r="M50" i="18"/>
  <c r="M51" i="18"/>
  <c r="M52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2" i="18"/>
  <c r="M41" i="16"/>
  <c r="M42" i="16"/>
  <c r="M43" i="16"/>
  <c r="M44" i="16"/>
  <c r="M45" i="16"/>
  <c r="M46" i="16"/>
  <c r="M47" i="16"/>
  <c r="M48" i="16"/>
  <c r="M49" i="16"/>
  <c r="M50" i="16"/>
  <c r="M51" i="16"/>
  <c r="M5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" i="16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4" i="14"/>
  <c r="M5" i="14"/>
  <c r="M6" i="14"/>
  <c r="M7" i="14"/>
  <c r="M8" i="14"/>
  <c r="M3" i="14"/>
  <c r="M2" i="14"/>
  <c r="K3" i="11"/>
  <c r="M3" i="11"/>
  <c r="M20" i="12"/>
  <c r="M19" i="12"/>
  <c r="M17" i="12"/>
  <c r="M16" i="12"/>
  <c r="M15" i="12"/>
  <c r="M14" i="12"/>
  <c r="M13" i="12"/>
  <c r="M11" i="12"/>
  <c r="M8" i="12"/>
  <c r="M6" i="12"/>
  <c r="M5" i="12"/>
  <c r="M3" i="12"/>
  <c r="M32" i="12"/>
  <c r="M23" i="12"/>
  <c r="M22" i="12"/>
  <c r="N52" i="18" l="1"/>
  <c r="N51" i="18"/>
  <c r="N50" i="18"/>
  <c r="N49" i="18"/>
  <c r="N48" i="18"/>
  <c r="N47" i="18"/>
  <c r="N46" i="18"/>
  <c r="N45" i="18"/>
  <c r="N44" i="18"/>
  <c r="N43" i="18"/>
  <c r="N42" i="18"/>
  <c r="N41" i="18"/>
  <c r="O40" i="18"/>
  <c r="N40" i="18"/>
  <c r="O39" i="18"/>
  <c r="N39" i="18"/>
  <c r="O38" i="18"/>
  <c r="N38" i="18"/>
  <c r="O37" i="18"/>
  <c r="N37" i="18"/>
  <c r="O36" i="18"/>
  <c r="N36" i="18"/>
  <c r="O35" i="18"/>
  <c r="N35" i="18"/>
  <c r="O34" i="18"/>
  <c r="N34" i="18"/>
  <c r="O33" i="18"/>
  <c r="N33" i="18"/>
  <c r="O32" i="18"/>
  <c r="N32" i="18"/>
  <c r="O31" i="18"/>
  <c r="N31" i="18"/>
  <c r="O30" i="18"/>
  <c r="N30" i="18"/>
  <c r="O29" i="18"/>
  <c r="N29" i="18"/>
  <c r="O28" i="18"/>
  <c r="N28" i="18"/>
  <c r="O27" i="18"/>
  <c r="N27" i="18"/>
  <c r="O26" i="18"/>
  <c r="N26" i="18"/>
  <c r="O25" i="18"/>
  <c r="N25" i="18"/>
  <c r="O24" i="18"/>
  <c r="N24" i="18"/>
  <c r="O23" i="18"/>
  <c r="N23" i="18"/>
  <c r="O22" i="18"/>
  <c r="N22" i="18"/>
  <c r="O21" i="18"/>
  <c r="N21" i="18"/>
  <c r="O20" i="18"/>
  <c r="N20" i="18"/>
  <c r="O19" i="18"/>
  <c r="N19" i="18"/>
  <c r="N18" i="18"/>
  <c r="O18" i="18"/>
  <c r="N17" i="18"/>
  <c r="O17" i="18"/>
  <c r="N16" i="18"/>
  <c r="O16" i="18"/>
  <c r="N15" i="18"/>
  <c r="O15" i="18"/>
  <c r="N14" i="18"/>
  <c r="O14" i="18"/>
  <c r="N13" i="18"/>
  <c r="O13" i="18"/>
  <c r="N12" i="18"/>
  <c r="O12" i="18"/>
  <c r="N11" i="18"/>
  <c r="O11" i="18"/>
  <c r="N10" i="18"/>
  <c r="O10" i="18"/>
  <c r="N9" i="18"/>
  <c r="O9" i="18"/>
  <c r="N8" i="18"/>
  <c r="O8" i="18"/>
  <c r="N7" i="18"/>
  <c r="O7" i="18"/>
  <c r="N6" i="18"/>
  <c r="O6" i="18"/>
  <c r="N5" i="18"/>
  <c r="O5" i="18"/>
  <c r="O4" i="18"/>
  <c r="N4" i="18"/>
  <c r="N3" i="18"/>
  <c r="N2" i="18"/>
  <c r="O2" i="18"/>
  <c r="N41" i="16" l="1"/>
  <c r="N26" i="16"/>
  <c r="N25" i="16"/>
  <c r="N24" i="16"/>
  <c r="O24" i="16"/>
  <c r="N52" i="16"/>
  <c r="N51" i="16" l="1"/>
  <c r="N50" i="16"/>
  <c r="N49" i="16"/>
  <c r="N48" i="16"/>
  <c r="N47" i="16"/>
  <c r="N46" i="16"/>
  <c r="N45" i="16"/>
  <c r="N44" i="16"/>
  <c r="N43" i="16"/>
  <c r="N42" i="16"/>
  <c r="O40" i="16"/>
  <c r="N40" i="16"/>
  <c r="O39" i="16"/>
  <c r="N39" i="16"/>
  <c r="O38" i="16"/>
  <c r="N38" i="16"/>
  <c r="O37" i="16"/>
  <c r="N37" i="16"/>
  <c r="O36" i="16"/>
  <c r="N36" i="16"/>
  <c r="O35" i="16"/>
  <c r="N35" i="16"/>
  <c r="O34" i="16"/>
  <c r="N34" i="16"/>
  <c r="O33" i="16"/>
  <c r="N33" i="16"/>
  <c r="O32" i="16"/>
  <c r="N32" i="16"/>
  <c r="O31" i="16"/>
  <c r="N31" i="16"/>
  <c r="O30" i="16"/>
  <c r="N30" i="16"/>
  <c r="O29" i="16"/>
  <c r="N29" i="16"/>
  <c r="O28" i="16"/>
  <c r="N28" i="16"/>
  <c r="O27" i="16"/>
  <c r="N27" i="16"/>
  <c r="O26" i="16"/>
  <c r="O25" i="16"/>
  <c r="O23" i="16"/>
  <c r="N23" i="16"/>
  <c r="O22" i="16"/>
  <c r="N22" i="16"/>
  <c r="O21" i="16"/>
  <c r="N21" i="16"/>
  <c r="O20" i="16"/>
  <c r="N20" i="16"/>
  <c r="O19" i="16"/>
  <c r="N19" i="16"/>
  <c r="N18" i="16"/>
  <c r="O18" i="16"/>
  <c r="N17" i="16"/>
  <c r="O17" i="16"/>
  <c r="N16" i="16"/>
  <c r="O16" i="16"/>
  <c r="N15" i="16"/>
  <c r="O15" i="16"/>
  <c r="N14" i="16"/>
  <c r="O14" i="16"/>
  <c r="N13" i="16"/>
  <c r="O13" i="16"/>
  <c r="N12" i="16"/>
  <c r="O12" i="16"/>
  <c r="N11" i="16"/>
  <c r="O11" i="16"/>
  <c r="N10" i="16"/>
  <c r="O10" i="16"/>
  <c r="N9" i="16"/>
  <c r="O9" i="16"/>
  <c r="N8" i="16"/>
  <c r="O8" i="16"/>
  <c r="N7" i="16"/>
  <c r="O7" i="16"/>
  <c r="N6" i="16"/>
  <c r="O6" i="16"/>
  <c r="N5" i="16"/>
  <c r="O5" i="16"/>
  <c r="O4" i="16"/>
  <c r="N4" i="16"/>
  <c r="N3" i="16"/>
  <c r="N2" i="16"/>
  <c r="O2" i="16"/>
  <c r="N46" i="14" l="1"/>
  <c r="N28" i="14" l="1"/>
  <c r="O28" i="14"/>
  <c r="N10" i="14" l="1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3" i="14"/>
  <c r="N4" i="14"/>
  <c r="N5" i="14"/>
  <c r="N6" i="14"/>
  <c r="N7" i="14"/>
  <c r="N8" i="14"/>
  <c r="N9" i="14"/>
  <c r="O43" i="14" l="1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N2" i="14"/>
  <c r="O2" i="14"/>
  <c r="M49" i="12" l="1"/>
  <c r="M28" i="12"/>
  <c r="M24" i="12"/>
  <c r="O24" i="12" s="1"/>
  <c r="M12" i="12"/>
  <c r="O12" i="12" s="1"/>
  <c r="M10" i="12"/>
  <c r="O10" i="12" s="1"/>
  <c r="M9" i="12"/>
  <c r="O9" i="12" s="1"/>
  <c r="M7" i="12"/>
  <c r="O7" i="12" s="1"/>
  <c r="M4" i="12"/>
  <c r="O4" i="12" s="1"/>
  <c r="M48" i="12"/>
  <c r="M47" i="12"/>
  <c r="M46" i="12"/>
  <c r="M44" i="12"/>
  <c r="M43" i="12"/>
  <c r="M42" i="12"/>
  <c r="M39" i="12"/>
  <c r="M38" i="12"/>
  <c r="M37" i="12"/>
  <c r="M35" i="12"/>
  <c r="M34" i="12"/>
  <c r="M31" i="12"/>
  <c r="M30" i="12"/>
  <c r="N49" i="12"/>
  <c r="K49" i="12"/>
  <c r="O48" i="12"/>
  <c r="N48" i="12"/>
  <c r="K48" i="12"/>
  <c r="O47" i="12"/>
  <c r="N47" i="12"/>
  <c r="K47" i="12"/>
  <c r="O46" i="12"/>
  <c r="N46" i="12"/>
  <c r="K46" i="12"/>
  <c r="O45" i="12"/>
  <c r="N45" i="12"/>
  <c r="M45" i="12"/>
  <c r="K45" i="12"/>
  <c r="O44" i="12"/>
  <c r="N44" i="12"/>
  <c r="K44" i="12"/>
  <c r="O43" i="12"/>
  <c r="N43" i="12"/>
  <c r="K43" i="12"/>
  <c r="O42" i="12"/>
  <c r="N42" i="12"/>
  <c r="K42" i="12"/>
  <c r="O41" i="12"/>
  <c r="N41" i="12"/>
  <c r="M41" i="12"/>
  <c r="K41" i="12"/>
  <c r="O40" i="12"/>
  <c r="N40" i="12"/>
  <c r="M40" i="12"/>
  <c r="K40" i="12"/>
  <c r="O39" i="12"/>
  <c r="N39" i="12"/>
  <c r="K39" i="12"/>
  <c r="O38" i="12"/>
  <c r="N38" i="12"/>
  <c r="K38" i="12"/>
  <c r="O37" i="12"/>
  <c r="N37" i="12"/>
  <c r="K37" i="12"/>
  <c r="O36" i="12"/>
  <c r="N36" i="12"/>
  <c r="M36" i="12"/>
  <c r="K36" i="12"/>
  <c r="O35" i="12"/>
  <c r="N35" i="12"/>
  <c r="K35" i="12"/>
  <c r="O34" i="12"/>
  <c r="N34" i="12"/>
  <c r="K34" i="12"/>
  <c r="O33" i="12"/>
  <c r="N33" i="12"/>
  <c r="M33" i="12"/>
  <c r="K33" i="12"/>
  <c r="O32" i="12"/>
  <c r="N32" i="12"/>
  <c r="K32" i="12"/>
  <c r="O31" i="12"/>
  <c r="N31" i="12"/>
  <c r="K31" i="12"/>
  <c r="O30" i="12"/>
  <c r="N30" i="12"/>
  <c r="K30" i="12"/>
  <c r="O29" i="12"/>
  <c r="N29" i="12"/>
  <c r="M29" i="12"/>
  <c r="K29" i="12"/>
  <c r="O28" i="12"/>
  <c r="N28" i="12"/>
  <c r="K28" i="12"/>
  <c r="O27" i="12"/>
  <c r="N27" i="12"/>
  <c r="M27" i="12"/>
  <c r="K27" i="12"/>
  <c r="N26" i="12"/>
  <c r="M26" i="12"/>
  <c r="O26" i="12" s="1"/>
  <c r="K26" i="12"/>
  <c r="N25" i="12"/>
  <c r="M25" i="12"/>
  <c r="O25" i="12" s="1"/>
  <c r="K25" i="12"/>
  <c r="N24" i="12"/>
  <c r="K24" i="12"/>
  <c r="O23" i="12"/>
  <c r="N23" i="12"/>
  <c r="K23" i="12"/>
  <c r="O22" i="12"/>
  <c r="N22" i="12"/>
  <c r="K22" i="12"/>
  <c r="N21" i="12"/>
  <c r="M21" i="12"/>
  <c r="O21" i="12" s="1"/>
  <c r="K21" i="12"/>
  <c r="O20" i="12"/>
  <c r="N20" i="12"/>
  <c r="K20" i="12"/>
  <c r="O19" i="12"/>
  <c r="N19" i="12"/>
  <c r="K19" i="12"/>
  <c r="N18" i="12"/>
  <c r="M18" i="12"/>
  <c r="O18" i="12" s="1"/>
  <c r="K18" i="12"/>
  <c r="O17" i="12"/>
  <c r="N17" i="12"/>
  <c r="K17" i="12"/>
  <c r="O16" i="12"/>
  <c r="N16" i="12"/>
  <c r="K16" i="12"/>
  <c r="O15" i="12"/>
  <c r="N15" i="12"/>
  <c r="K15" i="12"/>
  <c r="O14" i="12"/>
  <c r="N14" i="12"/>
  <c r="K14" i="12"/>
  <c r="O13" i="12"/>
  <c r="N13" i="12"/>
  <c r="K13" i="12"/>
  <c r="N12" i="12"/>
  <c r="K12" i="12"/>
  <c r="O11" i="12"/>
  <c r="N11" i="12"/>
  <c r="K11" i="12"/>
  <c r="N10" i="12"/>
  <c r="K10" i="12"/>
  <c r="N9" i="12"/>
  <c r="K9" i="12"/>
  <c r="O8" i="12"/>
  <c r="N8" i="12"/>
  <c r="K8" i="12"/>
  <c r="N7" i="12"/>
  <c r="K7" i="12"/>
  <c r="O6" i="12"/>
  <c r="N6" i="12"/>
  <c r="K6" i="12"/>
  <c r="O5" i="12"/>
  <c r="N5" i="12"/>
  <c r="K5" i="12"/>
  <c r="N4" i="12"/>
  <c r="K4" i="12"/>
  <c r="O3" i="12"/>
  <c r="N3" i="12"/>
  <c r="K3" i="12"/>
  <c r="O26" i="11"/>
  <c r="M21" i="11"/>
  <c r="O21" i="11" s="1"/>
  <c r="M18" i="11"/>
  <c r="O18" i="11" s="1"/>
  <c r="N49" i="11"/>
  <c r="K49" i="11"/>
  <c r="O48" i="11"/>
  <c r="N48" i="11"/>
  <c r="K48" i="11"/>
  <c r="O47" i="11"/>
  <c r="N47" i="11"/>
  <c r="K47" i="11"/>
  <c r="O46" i="11"/>
  <c r="N46" i="11"/>
  <c r="K46" i="11"/>
  <c r="O45" i="11"/>
  <c r="N45" i="11"/>
  <c r="K45" i="11"/>
  <c r="O44" i="11"/>
  <c r="N44" i="11"/>
  <c r="K44" i="11"/>
  <c r="O43" i="11"/>
  <c r="N43" i="11"/>
  <c r="K43" i="11"/>
  <c r="O42" i="11"/>
  <c r="N42" i="11"/>
  <c r="K42" i="11"/>
  <c r="O41" i="11"/>
  <c r="N41" i="11"/>
  <c r="K41" i="11"/>
  <c r="O40" i="11"/>
  <c r="N40" i="11"/>
  <c r="K40" i="11"/>
  <c r="O39" i="11"/>
  <c r="N39" i="11"/>
  <c r="K39" i="11"/>
  <c r="O38" i="11"/>
  <c r="N38" i="11"/>
  <c r="K38" i="11"/>
  <c r="O37" i="11"/>
  <c r="N37" i="11"/>
  <c r="K37" i="11"/>
  <c r="O36" i="11"/>
  <c r="N36" i="11"/>
  <c r="K36" i="11"/>
  <c r="O35" i="11"/>
  <c r="N35" i="11"/>
  <c r="K35" i="11"/>
  <c r="O34" i="11"/>
  <c r="N34" i="11"/>
  <c r="K34" i="11"/>
  <c r="O33" i="11"/>
  <c r="N33" i="11"/>
  <c r="K33" i="11"/>
  <c r="O32" i="11"/>
  <c r="N32" i="11"/>
  <c r="K32" i="11"/>
  <c r="O31" i="11"/>
  <c r="N31" i="11"/>
  <c r="K31" i="11"/>
  <c r="O30" i="11"/>
  <c r="N30" i="11"/>
  <c r="K30" i="11"/>
  <c r="O29" i="11"/>
  <c r="N29" i="11"/>
  <c r="K29" i="11"/>
  <c r="O28" i="11"/>
  <c r="N28" i="11"/>
  <c r="K28" i="11"/>
  <c r="O27" i="11"/>
  <c r="N27" i="11"/>
  <c r="K27" i="11"/>
  <c r="N26" i="11"/>
  <c r="K26" i="11"/>
  <c r="N25" i="11"/>
  <c r="O25" i="11"/>
  <c r="K25" i="11"/>
  <c r="N24" i="11"/>
  <c r="O24" i="11"/>
  <c r="K24" i="11"/>
  <c r="N23" i="11"/>
  <c r="O23" i="11"/>
  <c r="K23" i="11"/>
  <c r="N22" i="11"/>
  <c r="O22" i="11"/>
  <c r="K22" i="11"/>
  <c r="N21" i="11"/>
  <c r="K21" i="11"/>
  <c r="N20" i="11"/>
  <c r="O20" i="11"/>
  <c r="K20" i="11"/>
  <c r="N19" i="11"/>
  <c r="O19" i="11"/>
  <c r="K19" i="11"/>
  <c r="N18" i="11"/>
  <c r="K18" i="11"/>
  <c r="N17" i="11"/>
  <c r="O17" i="11"/>
  <c r="K17" i="11"/>
  <c r="N16" i="11"/>
  <c r="O16" i="11"/>
  <c r="K16" i="11"/>
  <c r="N15" i="11"/>
  <c r="O15" i="11"/>
  <c r="K15" i="11"/>
  <c r="O14" i="11"/>
  <c r="N14" i="11"/>
  <c r="K14" i="11"/>
  <c r="N13" i="11"/>
  <c r="O13" i="11"/>
  <c r="K13" i="11"/>
  <c r="N12" i="11"/>
  <c r="O12" i="11"/>
  <c r="K12" i="11"/>
  <c r="O11" i="11"/>
  <c r="N11" i="11"/>
  <c r="K11" i="11"/>
  <c r="N10" i="11"/>
  <c r="O10" i="11"/>
  <c r="K10" i="11"/>
  <c r="O9" i="11"/>
  <c r="N9" i="11"/>
  <c r="K9" i="11"/>
  <c r="O8" i="11"/>
  <c r="N8" i="11"/>
  <c r="K8" i="11"/>
  <c r="N7" i="11"/>
  <c r="O7" i="11"/>
  <c r="K7" i="11"/>
  <c r="N6" i="11"/>
  <c r="O6" i="11"/>
  <c r="K6" i="11"/>
  <c r="N5" i="11"/>
  <c r="O5" i="11"/>
  <c r="K5" i="11"/>
  <c r="N4" i="11"/>
  <c r="O4" i="11"/>
  <c r="K4" i="11"/>
  <c r="N3" i="11"/>
  <c r="O3" i="11"/>
  <c r="D2" i="8"/>
  <c r="N3" i="10" l="1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2" i="10"/>
  <c r="O5" i="10"/>
  <c r="O17" i="10"/>
  <c r="O8" i="10"/>
  <c r="O3" i="10"/>
  <c r="O58" i="10"/>
  <c r="O57" i="10"/>
  <c r="O56" i="10"/>
  <c r="O54" i="10"/>
  <c r="O53" i="10"/>
  <c r="O52" i="10"/>
  <c r="O51" i="10"/>
  <c r="K4" i="10"/>
  <c r="K7" i="10"/>
  <c r="K2" i="10"/>
  <c r="K9" i="10"/>
  <c r="K16" i="10"/>
  <c r="K18" i="10"/>
  <c r="K15" i="10"/>
  <c r="K13" i="10"/>
  <c r="K11" i="10"/>
  <c r="K8" i="10"/>
  <c r="K14" i="10"/>
  <c r="K17" i="10"/>
  <c r="K6" i="10"/>
  <c r="K12" i="10"/>
  <c r="K10" i="10"/>
  <c r="K5" i="10"/>
  <c r="K3" i="10"/>
  <c r="O3" i="7"/>
  <c r="K20" i="10"/>
  <c r="K19" i="10"/>
  <c r="O55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M24" i="10"/>
  <c r="O29" i="10" s="1"/>
  <c r="M25" i="10"/>
  <c r="M27" i="10"/>
  <c r="O27" i="10" s="1"/>
  <c r="M28" i="10"/>
  <c r="M30" i="10"/>
  <c r="M32" i="10"/>
  <c r="O13" i="10"/>
  <c r="O9" i="10"/>
  <c r="O5" i="9"/>
  <c r="S5" i="9" s="1"/>
  <c r="O3" i="9"/>
  <c r="S3" i="9" s="1"/>
  <c r="F137" i="9"/>
  <c r="F136" i="9"/>
  <c r="D135" i="9"/>
  <c r="F130" i="9"/>
  <c r="F129" i="9"/>
  <c r="F128" i="9" s="1"/>
  <c r="D128" i="9"/>
  <c r="F138" i="9" s="1"/>
  <c r="S51" i="9"/>
  <c r="Q51" i="9"/>
  <c r="S50" i="9"/>
  <c r="Q50" i="9"/>
  <c r="S49" i="9"/>
  <c r="Q49" i="9"/>
  <c r="S48" i="9"/>
  <c r="Q48" i="9"/>
  <c r="S47" i="9"/>
  <c r="Q47" i="9"/>
  <c r="S46" i="9"/>
  <c r="Q46" i="9"/>
  <c r="S45" i="9"/>
  <c r="Q45" i="9"/>
  <c r="Q44" i="9"/>
  <c r="S43" i="9"/>
  <c r="Q43" i="9"/>
  <c r="Q42" i="9"/>
  <c r="S41" i="9"/>
  <c r="Q41" i="9"/>
  <c r="S40" i="9"/>
  <c r="Q40" i="9"/>
  <c r="S39" i="9"/>
  <c r="Q39" i="9"/>
  <c r="S38" i="9"/>
  <c r="Q38" i="9"/>
  <c r="S37" i="9"/>
  <c r="Q37" i="9"/>
  <c r="S36" i="9"/>
  <c r="Q36" i="9"/>
  <c r="Q35" i="9"/>
  <c r="Q34" i="9"/>
  <c r="S33" i="9"/>
  <c r="Q33" i="9"/>
  <c r="S32" i="9"/>
  <c r="Q32" i="9"/>
  <c r="O31" i="9"/>
  <c r="S31" i="9" s="1"/>
  <c r="O30" i="9"/>
  <c r="S30" i="9" s="1"/>
  <c r="O29" i="9"/>
  <c r="S29" i="9" s="1"/>
  <c r="Q28" i="9"/>
  <c r="O28" i="9"/>
  <c r="S28" i="9" s="1"/>
  <c r="O27" i="9"/>
  <c r="S27" i="9" s="1"/>
  <c r="O26" i="9"/>
  <c r="S26" i="9" s="1"/>
  <c r="O25" i="9"/>
  <c r="S25" i="9" s="1"/>
  <c r="O24" i="9"/>
  <c r="S24" i="9" s="1"/>
  <c r="O23" i="9"/>
  <c r="S23" i="9" s="1"/>
  <c r="O22" i="9"/>
  <c r="Q22" i="9" s="1"/>
  <c r="O21" i="9"/>
  <c r="S21" i="9" s="1"/>
  <c r="O20" i="9"/>
  <c r="S20" i="9" s="1"/>
  <c r="O19" i="9"/>
  <c r="S19" i="9" s="1"/>
  <c r="S18" i="9"/>
  <c r="O18" i="9"/>
  <c r="Q18" i="9" s="1"/>
  <c r="O17" i="9"/>
  <c r="S17" i="9" s="1"/>
  <c r="O16" i="9"/>
  <c r="S16" i="9" s="1"/>
  <c r="O15" i="9"/>
  <c r="S15" i="9" s="1"/>
  <c r="O14" i="9"/>
  <c r="S14" i="9" s="1"/>
  <c r="O13" i="9"/>
  <c r="S13" i="9" s="1"/>
  <c r="O12" i="9"/>
  <c r="S12" i="9" s="1"/>
  <c r="O11" i="9"/>
  <c r="S11" i="9" s="1"/>
  <c r="O10" i="9"/>
  <c r="S10" i="9" s="1"/>
  <c r="O9" i="9"/>
  <c r="S9" i="9" s="1"/>
  <c r="O8" i="9"/>
  <c r="S8" i="9" s="1"/>
  <c r="O7" i="9"/>
  <c r="S7" i="9" s="1"/>
  <c r="O6" i="9"/>
  <c r="S6" i="9" s="1"/>
  <c r="O4" i="9"/>
  <c r="S4" i="9" s="1"/>
  <c r="J5" i="8"/>
  <c r="K5" i="8"/>
  <c r="L5" i="8"/>
  <c r="M5" i="8"/>
  <c r="N5" i="8"/>
  <c r="O5" i="8"/>
  <c r="P5" i="8"/>
  <c r="Q5" i="8"/>
  <c r="R5" i="8"/>
  <c r="S5" i="8"/>
  <c r="T5" i="8"/>
  <c r="U5" i="8"/>
  <c r="J6" i="8"/>
  <c r="K6" i="8"/>
  <c r="L6" i="8"/>
  <c r="M6" i="8"/>
  <c r="N6" i="8"/>
  <c r="O6" i="8"/>
  <c r="P6" i="8"/>
  <c r="Q6" i="8"/>
  <c r="R6" i="8"/>
  <c r="S6" i="8"/>
  <c r="T6" i="8"/>
  <c r="U6" i="8"/>
  <c r="J7" i="8"/>
  <c r="K7" i="8"/>
  <c r="L7" i="8"/>
  <c r="M7" i="8"/>
  <c r="N7" i="8"/>
  <c r="O7" i="8"/>
  <c r="P7" i="8"/>
  <c r="Q7" i="8"/>
  <c r="R7" i="8"/>
  <c r="S7" i="8"/>
  <c r="T7" i="8"/>
  <c r="U7" i="8"/>
  <c r="J8" i="8"/>
  <c r="K8" i="8"/>
  <c r="L8" i="8"/>
  <c r="M8" i="8"/>
  <c r="N8" i="8"/>
  <c r="O8" i="8"/>
  <c r="P8" i="8"/>
  <c r="Q8" i="8"/>
  <c r="R8" i="8"/>
  <c r="S8" i="8"/>
  <c r="T8" i="8"/>
  <c r="U8" i="8"/>
  <c r="J9" i="8"/>
  <c r="K9" i="8"/>
  <c r="L9" i="8"/>
  <c r="M9" i="8"/>
  <c r="N9" i="8"/>
  <c r="O9" i="8"/>
  <c r="P9" i="8"/>
  <c r="Q9" i="8"/>
  <c r="R9" i="8"/>
  <c r="S9" i="8"/>
  <c r="T9" i="8"/>
  <c r="U9" i="8"/>
  <c r="J10" i="8"/>
  <c r="K10" i="8"/>
  <c r="L10" i="8"/>
  <c r="M10" i="8"/>
  <c r="N10" i="8"/>
  <c r="O10" i="8"/>
  <c r="P10" i="8"/>
  <c r="Q10" i="8"/>
  <c r="R10" i="8"/>
  <c r="S10" i="8"/>
  <c r="T10" i="8"/>
  <c r="U10" i="8"/>
  <c r="J11" i="8"/>
  <c r="K11" i="8"/>
  <c r="L11" i="8"/>
  <c r="M11" i="8"/>
  <c r="N11" i="8"/>
  <c r="O11" i="8"/>
  <c r="P11" i="8"/>
  <c r="Q11" i="8"/>
  <c r="R11" i="8"/>
  <c r="S11" i="8"/>
  <c r="T11" i="8"/>
  <c r="U11" i="8"/>
  <c r="J12" i="8"/>
  <c r="K12" i="8"/>
  <c r="L12" i="8"/>
  <c r="M12" i="8"/>
  <c r="N12" i="8"/>
  <c r="O12" i="8"/>
  <c r="P12" i="8"/>
  <c r="Q12" i="8"/>
  <c r="R12" i="8"/>
  <c r="S12" i="8"/>
  <c r="T12" i="8"/>
  <c r="U12" i="8"/>
  <c r="J13" i="8"/>
  <c r="K13" i="8"/>
  <c r="L13" i="8"/>
  <c r="M13" i="8"/>
  <c r="N13" i="8"/>
  <c r="O13" i="8"/>
  <c r="P13" i="8"/>
  <c r="Q13" i="8"/>
  <c r="R13" i="8"/>
  <c r="S13" i="8"/>
  <c r="T13" i="8"/>
  <c r="U13" i="8"/>
  <c r="J14" i="8"/>
  <c r="K14" i="8"/>
  <c r="L14" i="8"/>
  <c r="M14" i="8"/>
  <c r="N14" i="8"/>
  <c r="O14" i="8"/>
  <c r="P14" i="8"/>
  <c r="Q14" i="8"/>
  <c r="R14" i="8"/>
  <c r="S14" i="8"/>
  <c r="T14" i="8"/>
  <c r="U14" i="8"/>
  <c r="J15" i="8"/>
  <c r="K15" i="8"/>
  <c r="L15" i="8"/>
  <c r="M15" i="8"/>
  <c r="N15" i="8"/>
  <c r="O15" i="8"/>
  <c r="P15" i="8"/>
  <c r="Q15" i="8"/>
  <c r="R15" i="8"/>
  <c r="S15" i="8"/>
  <c r="T15" i="8"/>
  <c r="U15" i="8"/>
  <c r="J16" i="8"/>
  <c r="K16" i="8"/>
  <c r="L16" i="8"/>
  <c r="M16" i="8"/>
  <c r="N16" i="8"/>
  <c r="O16" i="8"/>
  <c r="P16" i="8"/>
  <c r="Q16" i="8"/>
  <c r="R16" i="8"/>
  <c r="S16" i="8"/>
  <c r="T16" i="8"/>
  <c r="U16" i="8"/>
  <c r="J17" i="8"/>
  <c r="K17" i="8"/>
  <c r="L17" i="8"/>
  <c r="M17" i="8"/>
  <c r="N17" i="8"/>
  <c r="O17" i="8"/>
  <c r="P17" i="8"/>
  <c r="Q17" i="8"/>
  <c r="R17" i="8"/>
  <c r="S17" i="8"/>
  <c r="T17" i="8"/>
  <c r="U17" i="8"/>
  <c r="J18" i="8"/>
  <c r="K18" i="8"/>
  <c r="L18" i="8"/>
  <c r="M18" i="8"/>
  <c r="N18" i="8"/>
  <c r="O18" i="8"/>
  <c r="P18" i="8"/>
  <c r="Q18" i="8"/>
  <c r="R18" i="8"/>
  <c r="S18" i="8"/>
  <c r="T18" i="8"/>
  <c r="U18" i="8"/>
  <c r="J19" i="8"/>
  <c r="K19" i="8"/>
  <c r="L19" i="8"/>
  <c r="M19" i="8"/>
  <c r="N19" i="8"/>
  <c r="O19" i="8"/>
  <c r="P19" i="8"/>
  <c r="Q19" i="8"/>
  <c r="R19" i="8"/>
  <c r="S19" i="8"/>
  <c r="T19" i="8"/>
  <c r="U19" i="8"/>
  <c r="J20" i="8"/>
  <c r="K20" i="8"/>
  <c r="L20" i="8"/>
  <c r="M20" i="8"/>
  <c r="N20" i="8"/>
  <c r="O20" i="8"/>
  <c r="P20" i="8"/>
  <c r="Q20" i="8"/>
  <c r="R20" i="8"/>
  <c r="S20" i="8"/>
  <c r="T20" i="8"/>
  <c r="U20" i="8"/>
  <c r="J21" i="8"/>
  <c r="K21" i="8"/>
  <c r="L21" i="8"/>
  <c r="M21" i="8"/>
  <c r="N21" i="8"/>
  <c r="O21" i="8"/>
  <c r="P21" i="8"/>
  <c r="Q21" i="8"/>
  <c r="R21" i="8"/>
  <c r="S21" i="8"/>
  <c r="T21" i="8"/>
  <c r="U21" i="8"/>
  <c r="J22" i="8"/>
  <c r="K22" i="8"/>
  <c r="L22" i="8"/>
  <c r="M22" i="8"/>
  <c r="N22" i="8"/>
  <c r="O22" i="8"/>
  <c r="P22" i="8"/>
  <c r="Q22" i="8"/>
  <c r="R22" i="8"/>
  <c r="S22" i="8"/>
  <c r="T22" i="8"/>
  <c r="U22" i="8"/>
  <c r="J23" i="8"/>
  <c r="K23" i="8"/>
  <c r="L23" i="8"/>
  <c r="M23" i="8"/>
  <c r="N23" i="8"/>
  <c r="O23" i="8"/>
  <c r="P23" i="8"/>
  <c r="Q23" i="8"/>
  <c r="R23" i="8"/>
  <c r="S23" i="8"/>
  <c r="T23" i="8"/>
  <c r="U23" i="8"/>
  <c r="J24" i="8"/>
  <c r="K24" i="8"/>
  <c r="L24" i="8"/>
  <c r="M24" i="8"/>
  <c r="N24" i="8"/>
  <c r="O24" i="8"/>
  <c r="P24" i="8"/>
  <c r="Q24" i="8"/>
  <c r="R24" i="8"/>
  <c r="S24" i="8"/>
  <c r="T24" i="8"/>
  <c r="U24" i="8"/>
  <c r="J25" i="8"/>
  <c r="K25" i="8"/>
  <c r="L25" i="8"/>
  <c r="M25" i="8"/>
  <c r="N25" i="8"/>
  <c r="O25" i="8"/>
  <c r="P25" i="8"/>
  <c r="Q25" i="8"/>
  <c r="R25" i="8"/>
  <c r="S25" i="8"/>
  <c r="T25" i="8"/>
  <c r="U25" i="8"/>
  <c r="J26" i="8"/>
  <c r="K26" i="8"/>
  <c r="L26" i="8"/>
  <c r="M26" i="8"/>
  <c r="N26" i="8"/>
  <c r="O26" i="8"/>
  <c r="P26" i="8"/>
  <c r="Q26" i="8"/>
  <c r="R26" i="8"/>
  <c r="S26" i="8"/>
  <c r="T26" i="8"/>
  <c r="U26" i="8"/>
  <c r="J27" i="8"/>
  <c r="K27" i="8"/>
  <c r="L27" i="8"/>
  <c r="M27" i="8"/>
  <c r="N27" i="8"/>
  <c r="O27" i="8"/>
  <c r="P27" i="8"/>
  <c r="Q27" i="8"/>
  <c r="R27" i="8"/>
  <c r="S27" i="8"/>
  <c r="T27" i="8"/>
  <c r="U27" i="8"/>
  <c r="J28" i="8"/>
  <c r="K28" i="8"/>
  <c r="L28" i="8"/>
  <c r="M28" i="8"/>
  <c r="N28" i="8"/>
  <c r="O28" i="8"/>
  <c r="P28" i="8"/>
  <c r="Q28" i="8"/>
  <c r="R28" i="8"/>
  <c r="S28" i="8"/>
  <c r="T28" i="8"/>
  <c r="U28" i="8"/>
  <c r="J29" i="8"/>
  <c r="K29" i="8"/>
  <c r="L29" i="8"/>
  <c r="M29" i="8"/>
  <c r="N29" i="8"/>
  <c r="O29" i="8"/>
  <c r="P29" i="8"/>
  <c r="Q29" i="8"/>
  <c r="R29" i="8"/>
  <c r="S29" i="8"/>
  <c r="T29" i="8"/>
  <c r="U29" i="8"/>
  <c r="J30" i="8"/>
  <c r="K30" i="8"/>
  <c r="L30" i="8"/>
  <c r="M30" i="8"/>
  <c r="N30" i="8"/>
  <c r="O30" i="8"/>
  <c r="P30" i="8"/>
  <c r="Q30" i="8"/>
  <c r="R30" i="8"/>
  <c r="S30" i="8"/>
  <c r="T30" i="8"/>
  <c r="U30" i="8"/>
  <c r="J31" i="8"/>
  <c r="K31" i="8"/>
  <c r="L31" i="8"/>
  <c r="M31" i="8"/>
  <c r="N31" i="8"/>
  <c r="O31" i="8"/>
  <c r="P31" i="8"/>
  <c r="Q31" i="8"/>
  <c r="R31" i="8"/>
  <c r="S31" i="8"/>
  <c r="T31" i="8"/>
  <c r="U31" i="8"/>
  <c r="J32" i="8"/>
  <c r="K32" i="8"/>
  <c r="L32" i="8"/>
  <c r="M32" i="8"/>
  <c r="N32" i="8"/>
  <c r="O32" i="8"/>
  <c r="P32" i="8"/>
  <c r="Q32" i="8"/>
  <c r="R32" i="8"/>
  <c r="S32" i="8"/>
  <c r="T32" i="8"/>
  <c r="U32" i="8"/>
  <c r="J33" i="8"/>
  <c r="K33" i="8"/>
  <c r="L33" i="8"/>
  <c r="M33" i="8"/>
  <c r="N33" i="8"/>
  <c r="O33" i="8"/>
  <c r="P33" i="8"/>
  <c r="Q33" i="8"/>
  <c r="R33" i="8"/>
  <c r="S33" i="8"/>
  <c r="T33" i="8"/>
  <c r="U33" i="8"/>
  <c r="J34" i="8"/>
  <c r="K34" i="8"/>
  <c r="L34" i="8"/>
  <c r="M34" i="8"/>
  <c r="N34" i="8"/>
  <c r="O34" i="8"/>
  <c r="P34" i="8"/>
  <c r="Q34" i="8"/>
  <c r="R34" i="8"/>
  <c r="S34" i="8"/>
  <c r="T34" i="8"/>
  <c r="U34" i="8"/>
  <c r="J35" i="8"/>
  <c r="K35" i="8"/>
  <c r="L35" i="8"/>
  <c r="M35" i="8"/>
  <c r="N35" i="8"/>
  <c r="O35" i="8"/>
  <c r="P35" i="8"/>
  <c r="Q35" i="8"/>
  <c r="R35" i="8"/>
  <c r="S35" i="8"/>
  <c r="T35" i="8"/>
  <c r="U35" i="8"/>
  <c r="J36" i="8"/>
  <c r="K36" i="8"/>
  <c r="L36" i="8"/>
  <c r="M36" i="8"/>
  <c r="N36" i="8"/>
  <c r="O36" i="8"/>
  <c r="P36" i="8"/>
  <c r="Q36" i="8"/>
  <c r="R36" i="8"/>
  <c r="S36" i="8"/>
  <c r="T36" i="8"/>
  <c r="U36" i="8"/>
  <c r="J37" i="8"/>
  <c r="K37" i="8"/>
  <c r="L37" i="8"/>
  <c r="M37" i="8"/>
  <c r="N37" i="8"/>
  <c r="O37" i="8"/>
  <c r="P37" i="8"/>
  <c r="Q37" i="8"/>
  <c r="R37" i="8"/>
  <c r="S37" i="8"/>
  <c r="T37" i="8"/>
  <c r="U37" i="8"/>
  <c r="J38" i="8"/>
  <c r="K38" i="8"/>
  <c r="L38" i="8"/>
  <c r="M38" i="8"/>
  <c r="N38" i="8"/>
  <c r="O38" i="8"/>
  <c r="P38" i="8"/>
  <c r="Q38" i="8"/>
  <c r="R38" i="8"/>
  <c r="S38" i="8"/>
  <c r="T38" i="8"/>
  <c r="U38" i="8"/>
  <c r="J39" i="8"/>
  <c r="K39" i="8"/>
  <c r="L39" i="8"/>
  <c r="M39" i="8"/>
  <c r="N39" i="8"/>
  <c r="O39" i="8"/>
  <c r="P39" i="8"/>
  <c r="Q39" i="8"/>
  <c r="R39" i="8"/>
  <c r="S39" i="8"/>
  <c r="T39" i="8"/>
  <c r="U39" i="8"/>
  <c r="J40" i="8"/>
  <c r="K40" i="8"/>
  <c r="L40" i="8"/>
  <c r="M40" i="8"/>
  <c r="N40" i="8"/>
  <c r="O40" i="8"/>
  <c r="P40" i="8"/>
  <c r="Q40" i="8"/>
  <c r="R40" i="8"/>
  <c r="S40" i="8"/>
  <c r="T40" i="8"/>
  <c r="U40" i="8"/>
  <c r="J41" i="8"/>
  <c r="K41" i="8"/>
  <c r="L41" i="8"/>
  <c r="M41" i="8"/>
  <c r="N41" i="8"/>
  <c r="O41" i="8"/>
  <c r="P41" i="8"/>
  <c r="Q41" i="8"/>
  <c r="R41" i="8"/>
  <c r="S41" i="8"/>
  <c r="T41" i="8"/>
  <c r="U41" i="8"/>
  <c r="J42" i="8"/>
  <c r="K42" i="8"/>
  <c r="L42" i="8"/>
  <c r="M42" i="8"/>
  <c r="N42" i="8"/>
  <c r="O42" i="8"/>
  <c r="P42" i="8"/>
  <c r="Q42" i="8"/>
  <c r="R42" i="8"/>
  <c r="S42" i="8"/>
  <c r="T42" i="8"/>
  <c r="U42" i="8"/>
  <c r="J43" i="8"/>
  <c r="K43" i="8"/>
  <c r="L43" i="8"/>
  <c r="M43" i="8"/>
  <c r="N43" i="8"/>
  <c r="O43" i="8"/>
  <c r="P43" i="8"/>
  <c r="Q43" i="8"/>
  <c r="R43" i="8"/>
  <c r="S43" i="8"/>
  <c r="T43" i="8"/>
  <c r="U43" i="8"/>
  <c r="J44" i="8"/>
  <c r="K44" i="8"/>
  <c r="L44" i="8"/>
  <c r="M44" i="8"/>
  <c r="N44" i="8"/>
  <c r="O44" i="8"/>
  <c r="P44" i="8"/>
  <c r="Q44" i="8"/>
  <c r="R44" i="8"/>
  <c r="S44" i="8"/>
  <c r="T44" i="8"/>
  <c r="U44" i="8"/>
  <c r="J45" i="8"/>
  <c r="K45" i="8"/>
  <c r="L45" i="8"/>
  <c r="M45" i="8"/>
  <c r="N45" i="8"/>
  <c r="O45" i="8"/>
  <c r="P45" i="8"/>
  <c r="Q45" i="8"/>
  <c r="R45" i="8"/>
  <c r="S45" i="8"/>
  <c r="T45" i="8"/>
  <c r="U45" i="8"/>
  <c r="J46" i="8"/>
  <c r="K46" i="8"/>
  <c r="L46" i="8"/>
  <c r="M46" i="8"/>
  <c r="N46" i="8"/>
  <c r="O46" i="8"/>
  <c r="P46" i="8"/>
  <c r="Q46" i="8"/>
  <c r="R46" i="8"/>
  <c r="S46" i="8"/>
  <c r="T46" i="8"/>
  <c r="U46" i="8"/>
  <c r="J47" i="8"/>
  <c r="K47" i="8"/>
  <c r="L47" i="8"/>
  <c r="M47" i="8"/>
  <c r="N47" i="8"/>
  <c r="O47" i="8"/>
  <c r="P47" i="8"/>
  <c r="Q47" i="8"/>
  <c r="R47" i="8"/>
  <c r="S47" i="8"/>
  <c r="T47" i="8"/>
  <c r="U47" i="8"/>
  <c r="J48" i="8"/>
  <c r="K48" i="8"/>
  <c r="L48" i="8"/>
  <c r="M48" i="8"/>
  <c r="N48" i="8"/>
  <c r="O48" i="8"/>
  <c r="P48" i="8"/>
  <c r="Q48" i="8"/>
  <c r="R48" i="8"/>
  <c r="S48" i="8"/>
  <c r="T48" i="8"/>
  <c r="U48" i="8"/>
  <c r="E19" i="8"/>
  <c r="F19" i="8"/>
  <c r="G19" i="8"/>
  <c r="E20" i="8"/>
  <c r="F20" i="8"/>
  <c r="G20" i="8"/>
  <c r="E21" i="8"/>
  <c r="F21" i="8"/>
  <c r="G21" i="8"/>
  <c r="E22" i="8"/>
  <c r="F22" i="8"/>
  <c r="G22" i="8"/>
  <c r="E23" i="8"/>
  <c r="F23" i="8"/>
  <c r="G23" i="8"/>
  <c r="E24" i="8"/>
  <c r="F24" i="8"/>
  <c r="G24" i="8"/>
  <c r="E25" i="8"/>
  <c r="F25" i="8"/>
  <c r="G25" i="8"/>
  <c r="E26" i="8"/>
  <c r="F26" i="8"/>
  <c r="G26" i="8"/>
  <c r="E27" i="8"/>
  <c r="F27" i="8"/>
  <c r="G27" i="8"/>
  <c r="E28" i="8"/>
  <c r="F28" i="8"/>
  <c r="G28" i="8"/>
  <c r="E29" i="8"/>
  <c r="F29" i="8"/>
  <c r="G29" i="8"/>
  <c r="E30" i="8"/>
  <c r="F30" i="8"/>
  <c r="G30" i="8"/>
  <c r="E31" i="8"/>
  <c r="F31" i="8"/>
  <c r="G31" i="8"/>
  <c r="E32" i="8"/>
  <c r="F32" i="8"/>
  <c r="G32" i="8"/>
  <c r="E33" i="8"/>
  <c r="F33" i="8"/>
  <c r="G33" i="8"/>
  <c r="E34" i="8"/>
  <c r="F34" i="8"/>
  <c r="G34" i="8"/>
  <c r="E35" i="8"/>
  <c r="F35" i="8"/>
  <c r="G35" i="8"/>
  <c r="E36" i="8"/>
  <c r="F36" i="8"/>
  <c r="G36" i="8"/>
  <c r="E37" i="8"/>
  <c r="F37" i="8"/>
  <c r="G37" i="8"/>
  <c r="E38" i="8"/>
  <c r="F38" i="8"/>
  <c r="G38" i="8"/>
  <c r="E39" i="8"/>
  <c r="F39" i="8"/>
  <c r="G39" i="8"/>
  <c r="E40" i="8"/>
  <c r="F40" i="8"/>
  <c r="G40" i="8"/>
  <c r="E41" i="8"/>
  <c r="F41" i="8"/>
  <c r="G41" i="8"/>
  <c r="E42" i="8"/>
  <c r="F42" i="8"/>
  <c r="G42" i="8"/>
  <c r="E43" i="8"/>
  <c r="F43" i="8"/>
  <c r="G43" i="8"/>
  <c r="E44" i="8"/>
  <c r="F44" i="8"/>
  <c r="G44" i="8"/>
  <c r="E45" i="8"/>
  <c r="F45" i="8"/>
  <c r="G45" i="8"/>
  <c r="E46" i="8"/>
  <c r="F46" i="8"/>
  <c r="G46" i="8"/>
  <c r="E47" i="8"/>
  <c r="F47" i="8"/>
  <c r="G47" i="8"/>
  <c r="E48" i="8"/>
  <c r="F48" i="8"/>
  <c r="G48" i="8"/>
  <c r="D20" i="8"/>
  <c r="H20" i="8" s="1"/>
  <c r="D21" i="8"/>
  <c r="D22" i="8"/>
  <c r="D23" i="8"/>
  <c r="D24" i="8"/>
  <c r="D25" i="8"/>
  <c r="H25" i="8" s="1"/>
  <c r="D26" i="8"/>
  <c r="H26" i="8" s="1"/>
  <c r="D27" i="8"/>
  <c r="D28" i="8"/>
  <c r="H28" i="8" s="1"/>
  <c r="D29" i="8"/>
  <c r="D30" i="8"/>
  <c r="H30" i="8" s="1"/>
  <c r="D31" i="8"/>
  <c r="H31" i="8" s="1"/>
  <c r="D32" i="8"/>
  <c r="D33" i="8"/>
  <c r="H33" i="8" s="1"/>
  <c r="D34" i="8"/>
  <c r="H34" i="8" s="1"/>
  <c r="D35" i="8"/>
  <c r="D36" i="8"/>
  <c r="H36" i="8" s="1"/>
  <c r="D37" i="8"/>
  <c r="D38" i="8"/>
  <c r="D39" i="8"/>
  <c r="H39" i="8" s="1"/>
  <c r="D40" i="8"/>
  <c r="D41" i="8"/>
  <c r="H41" i="8" s="1"/>
  <c r="D42" i="8"/>
  <c r="H42" i="8" s="1"/>
  <c r="D43" i="8"/>
  <c r="D44" i="8"/>
  <c r="H44" i="8" s="1"/>
  <c r="D45" i="8"/>
  <c r="D46" i="8"/>
  <c r="D47" i="8"/>
  <c r="H47" i="8" s="1"/>
  <c r="D48" i="8"/>
  <c r="K2" i="8"/>
  <c r="L2" i="8"/>
  <c r="M2" i="8"/>
  <c r="N2" i="8"/>
  <c r="O2" i="8"/>
  <c r="P2" i="8"/>
  <c r="P50" i="8" s="1"/>
  <c r="Q2" i="8"/>
  <c r="R2" i="8"/>
  <c r="R50" i="8" s="1"/>
  <c r="S2" i="8"/>
  <c r="T2" i="8"/>
  <c r="U2" i="8"/>
  <c r="K3" i="8"/>
  <c r="L3" i="8"/>
  <c r="M3" i="8"/>
  <c r="N3" i="8"/>
  <c r="O3" i="8"/>
  <c r="P3" i="8"/>
  <c r="Q3" i="8"/>
  <c r="R3" i="8"/>
  <c r="S3" i="8"/>
  <c r="T3" i="8"/>
  <c r="U3" i="8"/>
  <c r="K4" i="8"/>
  <c r="L4" i="8"/>
  <c r="M4" i="8"/>
  <c r="N4" i="8"/>
  <c r="O4" i="8"/>
  <c r="P4" i="8"/>
  <c r="Q4" i="8"/>
  <c r="R4" i="8"/>
  <c r="S4" i="8"/>
  <c r="T4" i="8"/>
  <c r="U4" i="8"/>
  <c r="J3" i="8"/>
  <c r="J4" i="8"/>
  <c r="E2" i="8"/>
  <c r="F2" i="8"/>
  <c r="G2" i="8"/>
  <c r="E3" i="8"/>
  <c r="F3" i="8"/>
  <c r="G3" i="8"/>
  <c r="E4" i="8"/>
  <c r="F4" i="8"/>
  <c r="G4" i="8"/>
  <c r="E5" i="8"/>
  <c r="F5" i="8"/>
  <c r="G5" i="8"/>
  <c r="E6" i="8"/>
  <c r="F6" i="8"/>
  <c r="G6" i="8"/>
  <c r="E7" i="8"/>
  <c r="F7" i="8"/>
  <c r="G7" i="8"/>
  <c r="E8" i="8"/>
  <c r="F8" i="8"/>
  <c r="G8" i="8"/>
  <c r="E9" i="8"/>
  <c r="F9" i="8"/>
  <c r="G9" i="8"/>
  <c r="E10" i="8"/>
  <c r="F10" i="8"/>
  <c r="G10" i="8"/>
  <c r="E11" i="8"/>
  <c r="F11" i="8"/>
  <c r="G11" i="8"/>
  <c r="E12" i="8"/>
  <c r="F12" i="8"/>
  <c r="G12" i="8"/>
  <c r="E13" i="8"/>
  <c r="F13" i="8"/>
  <c r="G13" i="8"/>
  <c r="E14" i="8"/>
  <c r="F14" i="8"/>
  <c r="G14" i="8"/>
  <c r="E15" i="8"/>
  <c r="F15" i="8"/>
  <c r="G15" i="8"/>
  <c r="E16" i="8"/>
  <c r="F16" i="8"/>
  <c r="G16" i="8"/>
  <c r="E17" i="8"/>
  <c r="F17" i="8"/>
  <c r="G17" i="8"/>
  <c r="E18" i="8"/>
  <c r="F18" i="8"/>
  <c r="G1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H18" i="8" s="1"/>
  <c r="D19" i="8"/>
  <c r="H48" i="8" l="1"/>
  <c r="H40" i="8"/>
  <c r="H32" i="8"/>
  <c r="H24" i="8"/>
  <c r="D50" i="8"/>
  <c r="Q50" i="8"/>
  <c r="H23" i="8"/>
  <c r="H22" i="8"/>
  <c r="H21" i="8"/>
  <c r="G50" i="8"/>
  <c r="H17" i="8"/>
  <c r="F50" i="8"/>
  <c r="O50" i="8"/>
  <c r="H45" i="8"/>
  <c r="H37" i="8"/>
  <c r="H29" i="8"/>
  <c r="E50" i="8"/>
  <c r="H43" i="8"/>
  <c r="H35" i="8"/>
  <c r="H27" i="8"/>
  <c r="H19" i="8"/>
  <c r="H46" i="8"/>
  <c r="H38" i="8"/>
  <c r="Q19" i="9"/>
  <c r="M50" i="8"/>
  <c r="L50" i="8"/>
  <c r="Q9" i="9"/>
  <c r="K50" i="8"/>
  <c r="Q17" i="9"/>
  <c r="Q21" i="9"/>
  <c r="F139" i="9"/>
  <c r="F135" i="9"/>
  <c r="D144" i="9"/>
  <c r="O24" i="10"/>
  <c r="O21" i="10"/>
  <c r="O25" i="10"/>
  <c r="O32" i="10"/>
  <c r="O23" i="10"/>
  <c r="O4" i="10"/>
  <c r="O20" i="10"/>
  <c r="O16" i="10"/>
  <c r="O12" i="10"/>
  <c r="O28" i="10"/>
  <c r="O7" i="10"/>
  <c r="O11" i="10"/>
  <c r="O15" i="10"/>
  <c r="O31" i="10"/>
  <c r="O18" i="10"/>
  <c r="O22" i="10"/>
  <c r="O26" i="10"/>
  <c r="O30" i="10"/>
  <c r="O19" i="10"/>
  <c r="O6" i="10"/>
  <c r="O10" i="10"/>
  <c r="O14" i="10"/>
  <c r="Q3" i="9"/>
  <c r="Q5" i="9"/>
  <c r="Q20" i="9"/>
  <c r="Q24" i="9"/>
  <c r="Q13" i="9"/>
  <c r="Q12" i="9"/>
  <c r="Q16" i="9"/>
  <c r="Q7" i="9"/>
  <c r="Q11" i="9"/>
  <c r="Q15" i="9"/>
  <c r="Q26" i="9"/>
  <c r="Q30" i="9"/>
  <c r="Q4" i="9"/>
  <c r="Q8" i="9"/>
  <c r="Q23" i="9"/>
  <c r="Q27" i="9"/>
  <c r="Q31" i="9"/>
  <c r="Q6" i="9"/>
  <c r="Q10" i="9"/>
  <c r="Q14" i="9"/>
  <c r="S22" i="9"/>
  <c r="Q25" i="9"/>
  <c r="Q29" i="9"/>
  <c r="F142" i="9"/>
  <c r="F144" i="9" s="1"/>
  <c r="U50" i="8"/>
  <c r="T50" i="8"/>
  <c r="S50" i="8"/>
  <c r="N50" i="8"/>
  <c r="J2" i="8" l="1"/>
  <c r="J50" i="8" s="1"/>
  <c r="V50" i="8" s="1"/>
  <c r="W50" i="8" s="1"/>
  <c r="I109" i="8"/>
  <c r="V2" i="8" l="1"/>
  <c r="V39" i="8"/>
  <c r="U52" i="8"/>
  <c r="T52" i="8"/>
  <c r="S52" i="8"/>
  <c r="R52" i="8"/>
  <c r="V23" i="8"/>
  <c r="Q52" i="8"/>
  <c r="P52" i="8"/>
  <c r="O52" i="8"/>
  <c r="H10" i="8"/>
  <c r="D52" i="8"/>
  <c r="L52" i="8"/>
  <c r="M52" i="8"/>
  <c r="V8" i="8"/>
  <c r="G52" i="8"/>
  <c r="N52" i="8"/>
  <c r="K52" i="8"/>
  <c r="J52" i="8"/>
  <c r="F52" i="8"/>
  <c r="E52" i="8"/>
  <c r="H7" i="8"/>
  <c r="V36" i="8"/>
  <c r="V20" i="8"/>
  <c r="H13" i="8"/>
  <c r="H3" i="8"/>
  <c r="V44" i="8"/>
  <c r="V31" i="8"/>
  <c r="V28" i="8"/>
  <c r="V16" i="8"/>
  <c r="V13" i="8"/>
  <c r="V5" i="8"/>
  <c r="H16" i="8"/>
  <c r="H12" i="8"/>
  <c r="H9" i="8"/>
  <c r="H8" i="8"/>
  <c r="H5" i="8"/>
  <c r="H4" i="8"/>
  <c r="V46" i="8"/>
  <c r="V45" i="8"/>
  <c r="V43" i="8"/>
  <c r="V42" i="8"/>
  <c r="V41" i="8"/>
  <c r="V40" i="8"/>
  <c r="V38" i="8"/>
  <c r="V37" i="8"/>
  <c r="V35" i="8"/>
  <c r="V34" i="8"/>
  <c r="V33" i="8"/>
  <c r="V32" i="8"/>
  <c r="V30" i="8"/>
  <c r="V29" i="8"/>
  <c r="V27" i="8"/>
  <c r="V26" i="8"/>
  <c r="V25" i="8"/>
  <c r="V24" i="8"/>
  <c r="V22" i="8"/>
  <c r="V21" i="8"/>
  <c r="V19" i="8"/>
  <c r="V18" i="8"/>
  <c r="V17" i="8"/>
  <c r="V15" i="8"/>
  <c r="V14" i="8"/>
  <c r="V12" i="8"/>
  <c r="V11" i="8"/>
  <c r="V10" i="8"/>
  <c r="V9" i="8"/>
  <c r="V7" i="8"/>
  <c r="V6" i="8"/>
  <c r="V4" i="8"/>
  <c r="V3" i="8"/>
  <c r="H15" i="8"/>
  <c r="H11" i="8"/>
  <c r="H14" i="8"/>
  <c r="H6" i="8"/>
  <c r="N109" i="8"/>
  <c r="D109" i="8"/>
  <c r="R109" i="8"/>
  <c r="U109" i="8"/>
  <c r="E109" i="8"/>
  <c r="K109" i="8"/>
  <c r="H2" i="8"/>
  <c r="M109" i="8"/>
  <c r="S109" i="8"/>
  <c r="L109" i="8"/>
  <c r="Q109" i="8"/>
  <c r="F109" i="8"/>
  <c r="T109" i="8"/>
  <c r="G109" i="8"/>
  <c r="O109" i="8"/>
  <c r="P109" i="8"/>
  <c r="D40" i="1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34" i="7"/>
  <c r="S37" i="7"/>
  <c r="S38" i="7"/>
  <c r="S39" i="7"/>
  <c r="S40" i="7"/>
  <c r="S41" i="7"/>
  <c r="S43" i="7"/>
  <c r="S45" i="7"/>
  <c r="S46" i="7"/>
  <c r="S47" i="7"/>
  <c r="S48" i="7"/>
  <c r="S49" i="7"/>
  <c r="S50" i="7"/>
  <c r="S51" i="7"/>
  <c r="S36" i="7"/>
  <c r="J109" i="8" l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S22" i="7" l="1"/>
  <c r="Q22" i="7"/>
  <c r="S18" i="7"/>
  <c r="Q18" i="7"/>
  <c r="S14" i="7"/>
  <c r="Q14" i="7"/>
  <c r="S10" i="7"/>
  <c r="Q10" i="7"/>
  <c r="S6" i="7"/>
  <c r="Q6" i="7"/>
  <c r="S33" i="7"/>
  <c r="Q33" i="7"/>
  <c r="S29" i="7"/>
  <c r="Q29" i="7"/>
  <c r="S25" i="7"/>
  <c r="Q25" i="7"/>
  <c r="S21" i="7"/>
  <c r="Q21" i="7"/>
  <c r="S17" i="7"/>
  <c r="Q17" i="7"/>
  <c r="S13" i="7"/>
  <c r="Q13" i="7"/>
  <c r="S9" i="7"/>
  <c r="Q9" i="7"/>
  <c r="S5" i="7"/>
  <c r="Q5" i="7"/>
  <c r="S30" i="7"/>
  <c r="Q30" i="7"/>
  <c r="S32" i="7"/>
  <c r="Q32" i="7"/>
  <c r="S28" i="7"/>
  <c r="Q28" i="7"/>
  <c r="S24" i="7"/>
  <c r="Q24" i="7"/>
  <c r="S20" i="7"/>
  <c r="Q20" i="7"/>
  <c r="S16" i="7"/>
  <c r="Q16" i="7"/>
  <c r="S12" i="7"/>
  <c r="Q12" i="7"/>
  <c r="S8" i="7"/>
  <c r="Q8" i="7"/>
  <c r="S4" i="7"/>
  <c r="Q4" i="7"/>
  <c r="S3" i="7"/>
  <c r="Q3" i="7"/>
  <c r="S26" i="7"/>
  <c r="Q26" i="7"/>
  <c r="S31" i="7"/>
  <c r="Q31" i="7"/>
  <c r="S27" i="7"/>
  <c r="Q27" i="7"/>
  <c r="S23" i="7"/>
  <c r="Q23" i="7"/>
  <c r="S19" i="7"/>
  <c r="Q19" i="7"/>
  <c r="S15" i="7"/>
  <c r="Q15" i="7"/>
  <c r="S11" i="7"/>
  <c r="Q11" i="7"/>
  <c r="S7" i="7"/>
  <c r="Q7" i="7"/>
  <c r="D135" i="7"/>
  <c r="F130" i="7"/>
  <c r="D128" i="7"/>
  <c r="F138" i="7" s="1"/>
  <c r="I31" i="7"/>
  <c r="I28" i="7"/>
  <c r="I49" i="7"/>
  <c r="I27" i="7"/>
  <c r="I29" i="7"/>
  <c r="I48" i="7"/>
  <c r="I46" i="7"/>
  <c r="I25" i="7"/>
  <c r="I30" i="7"/>
  <c r="I26" i="7"/>
  <c r="I24" i="7"/>
  <c r="I21" i="7"/>
  <c r="I51" i="7"/>
  <c r="I20" i="7"/>
  <c r="I19" i="7"/>
  <c r="I17" i="7"/>
  <c r="I16" i="7"/>
  <c r="I15" i="7"/>
  <c r="I14" i="7"/>
  <c r="I13" i="7"/>
  <c r="I12" i="7"/>
  <c r="I11" i="7"/>
  <c r="I45" i="7"/>
  <c r="I10" i="7"/>
  <c r="I9" i="7"/>
  <c r="I8" i="7"/>
  <c r="I44" i="7"/>
  <c r="I7" i="7"/>
  <c r="I18" i="7"/>
  <c r="I43" i="7"/>
  <c r="I42" i="7"/>
  <c r="I33" i="7"/>
  <c r="I41" i="7"/>
  <c r="I40" i="7"/>
  <c r="I6" i="7"/>
  <c r="I5" i="7"/>
  <c r="I4" i="7"/>
  <c r="I39" i="7"/>
  <c r="I32" i="7"/>
  <c r="I3" i="7"/>
  <c r="I38" i="7"/>
  <c r="I37" i="7"/>
  <c r="F139" i="7" l="1"/>
  <c r="F142" i="7"/>
  <c r="F136" i="7"/>
  <c r="D144" i="7"/>
  <c r="F129" i="7"/>
  <c r="F128" i="7" s="1"/>
  <c r="F137" i="7"/>
  <c r="O4" i="6"/>
  <c r="O5" i="6"/>
  <c r="O16" i="6"/>
  <c r="O22" i="6"/>
  <c r="O3" i="6"/>
  <c r="O6" i="6"/>
  <c r="F135" i="7" l="1"/>
  <c r="F144" i="7" s="1"/>
  <c r="O35" i="6"/>
  <c r="O32" i="6"/>
  <c r="O42" i="6"/>
  <c r="O21" i="6"/>
  <c r="O27" i="6"/>
  <c r="O43" i="6"/>
  <c r="O38" i="6"/>
  <c r="O15" i="6"/>
  <c r="O39" i="6"/>
  <c r="O26" i="6"/>
  <c r="O12" i="6"/>
  <c r="O23" i="6"/>
  <c r="O37" i="6"/>
  <c r="O31" i="6"/>
  <c r="O34" i="6"/>
  <c r="O41" i="6"/>
  <c r="O36" i="6"/>
  <c r="O25" i="6"/>
  <c r="I52" i="6"/>
  <c r="I51" i="6"/>
  <c r="I50" i="6"/>
  <c r="I42" i="6"/>
  <c r="D139" i="6" l="1"/>
  <c r="F134" i="6"/>
  <c r="D132" i="6"/>
  <c r="F142" i="6" s="1"/>
  <c r="I54" i="6"/>
  <c r="Q48" i="6"/>
  <c r="Q47" i="6"/>
  <c r="Q46" i="6"/>
  <c r="Q45" i="6"/>
  <c r="Q44" i="6"/>
  <c r="I32" i="6"/>
  <c r="Q43" i="6"/>
  <c r="I35" i="6"/>
  <c r="I49" i="6"/>
  <c r="Q41" i="6"/>
  <c r="I21" i="6"/>
  <c r="Q40" i="6"/>
  <c r="I48" i="6"/>
  <c r="Q39" i="6"/>
  <c r="I27" i="6"/>
  <c r="I47" i="6"/>
  <c r="Q37" i="6"/>
  <c r="I43" i="6"/>
  <c r="Q36" i="6"/>
  <c r="I38" i="6"/>
  <c r="Q35" i="6"/>
  <c r="I15" i="6"/>
  <c r="Q34" i="6"/>
  <c r="I39" i="6"/>
  <c r="Q33" i="6"/>
  <c r="I26" i="6"/>
  <c r="Q32" i="6"/>
  <c r="I12" i="6"/>
  <c r="Q31" i="6"/>
  <c r="I53" i="6"/>
  <c r="Q30" i="6"/>
  <c r="I23" i="6"/>
  <c r="Q29" i="6"/>
  <c r="I37" i="6"/>
  <c r="Q28" i="6"/>
  <c r="I31" i="6"/>
  <c r="Q27" i="6"/>
  <c r="I34" i="6"/>
  <c r="Q26" i="6"/>
  <c r="I41" i="6"/>
  <c r="Q25" i="6"/>
  <c r="I36" i="6"/>
  <c r="Q24" i="6"/>
  <c r="I25" i="6"/>
  <c r="Q23" i="6"/>
  <c r="I20" i="6"/>
  <c r="Q22" i="6"/>
  <c r="I30" i="6"/>
  <c r="Q21" i="6"/>
  <c r="I33" i="6"/>
  <c r="Q20" i="6"/>
  <c r="O20" i="6"/>
  <c r="I11" i="6"/>
  <c r="Q19" i="6"/>
  <c r="O30" i="6"/>
  <c r="I40" i="6"/>
  <c r="O33" i="6"/>
  <c r="I10" i="6"/>
  <c r="Q17" i="6"/>
  <c r="O11" i="6"/>
  <c r="I24" i="6"/>
  <c r="Q16" i="6"/>
  <c r="O40" i="6"/>
  <c r="I13" i="6"/>
  <c r="Q15" i="6"/>
  <c r="O10" i="6"/>
  <c r="I14" i="6"/>
  <c r="Q14" i="6"/>
  <c r="O24" i="6"/>
  <c r="I19" i="6"/>
  <c r="Q13" i="6"/>
  <c r="O13" i="6"/>
  <c r="I29" i="6"/>
  <c r="Q12" i="6"/>
  <c r="O14" i="6"/>
  <c r="I9" i="6"/>
  <c r="Q11" i="6"/>
  <c r="O19" i="6"/>
  <c r="I8" i="6"/>
  <c r="Q10" i="6"/>
  <c r="O29" i="6"/>
  <c r="I17" i="6"/>
  <c r="Q9" i="6"/>
  <c r="O9" i="6"/>
  <c r="I18" i="6"/>
  <c r="O8" i="6"/>
  <c r="Q7" i="6"/>
  <c r="O17" i="6"/>
  <c r="I7" i="6"/>
  <c r="O18" i="6"/>
  <c r="Q5" i="6"/>
  <c r="O7" i="6"/>
  <c r="I28" i="6"/>
  <c r="Q4" i="6"/>
  <c r="O28" i="6"/>
  <c r="I6" i="6"/>
  <c r="Q3" i="6"/>
  <c r="I44" i="6"/>
  <c r="F141" i="6" l="1"/>
  <c r="F133" i="6"/>
  <c r="F132" i="6" s="1"/>
  <c r="F143" i="6"/>
  <c r="F146" i="6"/>
  <c r="F140" i="6"/>
  <c r="D148" i="6"/>
  <c r="S3" i="5"/>
  <c r="S4" i="5"/>
  <c r="S5" i="5"/>
  <c r="S7" i="5"/>
  <c r="S9" i="5"/>
  <c r="S10" i="5"/>
  <c r="S11" i="5"/>
  <c r="S12" i="5"/>
  <c r="S13" i="5"/>
  <c r="S14" i="5"/>
  <c r="S15" i="5"/>
  <c r="S16" i="5"/>
  <c r="S17" i="5"/>
  <c r="S18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40" i="5"/>
  <c r="S41" i="5"/>
  <c r="S42" i="5"/>
  <c r="S44" i="5"/>
  <c r="S45" i="5"/>
  <c r="S46" i="5"/>
  <c r="S47" i="5"/>
  <c r="S48" i="5"/>
  <c r="S49" i="5"/>
  <c r="F139" i="6" l="1"/>
  <c r="F148" i="6" s="1"/>
  <c r="Q9" i="5"/>
  <c r="I9" i="5"/>
  <c r="Q4" i="5"/>
  <c r="P15" i="5"/>
  <c r="Q15" i="5" s="1"/>
  <c r="P18" i="5"/>
  <c r="Q18" i="5" s="1"/>
  <c r="P17" i="5"/>
  <c r="Q17" i="5" s="1"/>
  <c r="P14" i="5"/>
  <c r="Q14" i="5" s="1"/>
  <c r="P13" i="5"/>
  <c r="Q13" i="5" s="1"/>
  <c r="P16" i="5"/>
  <c r="Q16" i="5" s="1"/>
  <c r="Q10" i="5"/>
  <c r="Q11" i="5"/>
  <c r="Q19" i="5"/>
  <c r="Q3" i="5"/>
  <c r="Q20" i="5"/>
  <c r="Q5" i="5"/>
  <c r="Q21" i="5"/>
  <c r="Q8" i="5"/>
  <c r="Q6" i="5"/>
  <c r="Q7" i="5"/>
  <c r="Q12" i="5"/>
  <c r="D141" i="5"/>
  <c r="F136" i="5"/>
  <c r="D134" i="5"/>
  <c r="F144" i="5" s="1"/>
  <c r="I21" i="5"/>
  <c r="I5" i="5"/>
  <c r="I4" i="5"/>
  <c r="I15" i="5"/>
  <c r="I20" i="5"/>
  <c r="I18" i="5"/>
  <c r="I45" i="5"/>
  <c r="I44" i="5"/>
  <c r="I3" i="5"/>
  <c r="I43" i="5"/>
  <c r="I42" i="5"/>
  <c r="I41" i="5"/>
  <c r="I17" i="5"/>
  <c r="I19" i="5"/>
  <c r="I40" i="5"/>
  <c r="I39" i="5"/>
  <c r="I14" i="5"/>
  <c r="I38" i="5"/>
  <c r="I37" i="5"/>
  <c r="I13" i="5"/>
  <c r="I36" i="5"/>
  <c r="I35" i="5"/>
  <c r="I34" i="5"/>
  <c r="I11" i="5"/>
  <c r="I33" i="5"/>
  <c r="I32" i="5"/>
  <c r="I31" i="5"/>
  <c r="I10" i="5"/>
  <c r="I30" i="5"/>
  <c r="I29" i="5"/>
  <c r="I28" i="5"/>
  <c r="I16" i="5"/>
  <c r="I27" i="5"/>
  <c r="I26" i="5"/>
  <c r="I25" i="5"/>
  <c r="I12" i="5"/>
  <c r="I51" i="5"/>
  <c r="I24" i="5"/>
  <c r="I23" i="5"/>
  <c r="I22" i="5"/>
  <c r="I50" i="5"/>
  <c r="I7" i="5"/>
  <c r="F145" i="5" l="1"/>
  <c r="F135" i="5"/>
  <c r="F134" i="5" s="1"/>
  <c r="F148" i="5"/>
  <c r="F142" i="5"/>
  <c r="F143" i="5"/>
  <c r="D150" i="5"/>
  <c r="F145" i="4"/>
  <c r="D143" i="4"/>
  <c r="F138" i="4"/>
  <c r="D136" i="4"/>
  <c r="F150" i="4" s="1"/>
  <c r="F137" i="4" l="1"/>
  <c r="F136" i="4" s="1"/>
  <c r="D152" i="4"/>
  <c r="F147" i="4"/>
  <c r="F146" i="4"/>
  <c r="F144" i="4"/>
  <c r="F141" i="5"/>
  <c r="F150" i="5" s="1"/>
  <c r="P41" i="4"/>
  <c r="P47" i="4"/>
  <c r="P45" i="4"/>
  <c r="P42" i="4"/>
  <c r="P43" i="4"/>
  <c r="P39" i="4"/>
  <c r="R39" i="4"/>
  <c r="F143" i="4" l="1"/>
  <c r="F152" i="4" s="1"/>
  <c r="R60" i="4"/>
  <c r="P60" i="4"/>
  <c r="P49" i="4"/>
  <c r="R49" i="4"/>
  <c r="P50" i="4"/>
  <c r="R50" i="4"/>
  <c r="P51" i="4"/>
  <c r="R51" i="4"/>
  <c r="R48" i="4"/>
  <c r="P48" i="4"/>
  <c r="P4" i="4" l="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R3" i="4"/>
  <c r="N3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P3" i="2" l="1"/>
  <c r="R29" i="2"/>
  <c r="T29" i="2" s="1"/>
  <c r="N26" i="2"/>
  <c r="R26" i="2" s="1"/>
  <c r="T26" i="2" s="1"/>
  <c r="N27" i="2"/>
  <c r="R27" i="2" s="1"/>
  <c r="T27" i="2" s="1"/>
  <c r="N28" i="2"/>
  <c r="R28" i="2" s="1"/>
  <c r="T28" i="2" s="1"/>
  <c r="N29" i="2"/>
  <c r="N30" i="2"/>
  <c r="R30" i="2" s="1"/>
  <c r="T30" i="2" s="1"/>
  <c r="N31" i="2"/>
  <c r="R31" i="2" s="1"/>
  <c r="T31" i="2" s="1"/>
  <c r="N32" i="2"/>
  <c r="R32" i="2" s="1"/>
  <c r="T32" i="2" s="1"/>
  <c r="N33" i="2"/>
  <c r="R33" i="2" s="1"/>
  <c r="T33" i="2" s="1"/>
  <c r="N34" i="2"/>
  <c r="R34" i="2" s="1"/>
  <c r="T34" i="2" s="1"/>
  <c r="N35" i="2"/>
  <c r="R35" i="2" s="1"/>
  <c r="T35" i="2" s="1"/>
  <c r="N36" i="2"/>
  <c r="R36" i="2" s="1"/>
  <c r="T36" i="2" s="1"/>
  <c r="N37" i="2"/>
  <c r="R37" i="2" s="1"/>
  <c r="T37" i="2" s="1"/>
  <c r="N38" i="2"/>
  <c r="R38" i="2" s="1"/>
  <c r="T38" i="2" s="1"/>
  <c r="N25" i="2"/>
  <c r="R25" i="2" s="1"/>
  <c r="T25" i="2" s="1"/>
  <c r="R40" i="2"/>
  <c r="T40" i="2" s="1"/>
  <c r="R41" i="2"/>
  <c r="T41" i="2" s="1"/>
  <c r="R42" i="2"/>
  <c r="T42" i="2" s="1"/>
  <c r="R43" i="2"/>
  <c r="T43" i="2" s="1"/>
  <c r="R44" i="2"/>
  <c r="T44" i="2" s="1"/>
  <c r="R45" i="2"/>
  <c r="T45" i="2" s="1"/>
  <c r="R39" i="2"/>
  <c r="T39" i="2" s="1"/>
  <c r="P40" i="2"/>
  <c r="P41" i="2"/>
  <c r="P42" i="2"/>
  <c r="P43" i="2"/>
  <c r="P44" i="2"/>
  <c r="P45" i="2"/>
  <c r="P39" i="2"/>
  <c r="P28" i="2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3" i="2"/>
  <c r="P26" i="2"/>
  <c r="P27" i="2"/>
  <c r="P29" i="2"/>
  <c r="P30" i="2"/>
  <c r="P31" i="2"/>
  <c r="P32" i="2"/>
  <c r="P33" i="2"/>
  <c r="P34" i="2"/>
  <c r="P35" i="2"/>
  <c r="P36" i="2"/>
  <c r="P37" i="2"/>
  <c r="P38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N4" i="2"/>
  <c r="R4" i="2" s="1"/>
  <c r="T4" i="2" s="1"/>
  <c r="N5" i="2"/>
  <c r="R5" i="2" s="1"/>
  <c r="T5" i="2" s="1"/>
  <c r="N6" i="2"/>
  <c r="R6" i="2" s="1"/>
  <c r="T6" i="2" s="1"/>
  <c r="N7" i="2"/>
  <c r="R7" i="2" s="1"/>
  <c r="T7" i="2" s="1"/>
  <c r="N8" i="2"/>
  <c r="R8" i="2" s="1"/>
  <c r="T8" i="2" s="1"/>
  <c r="N9" i="2"/>
  <c r="R9" i="2" s="1"/>
  <c r="T9" i="2" s="1"/>
  <c r="N10" i="2"/>
  <c r="R10" i="2" s="1"/>
  <c r="T10" i="2" s="1"/>
  <c r="N11" i="2"/>
  <c r="R11" i="2" s="1"/>
  <c r="T11" i="2" s="1"/>
  <c r="N12" i="2"/>
  <c r="R12" i="2" s="1"/>
  <c r="T12" i="2" s="1"/>
  <c r="N13" i="2"/>
  <c r="R13" i="2" s="1"/>
  <c r="T13" i="2" s="1"/>
  <c r="N14" i="2"/>
  <c r="R14" i="2" s="1"/>
  <c r="T14" i="2" s="1"/>
  <c r="N15" i="2"/>
  <c r="R15" i="2" s="1"/>
  <c r="T15" i="2" s="1"/>
  <c r="N16" i="2"/>
  <c r="R16" i="2" s="1"/>
  <c r="T16" i="2" s="1"/>
  <c r="N17" i="2"/>
  <c r="R17" i="2" s="1"/>
  <c r="T17" i="2" s="1"/>
  <c r="N18" i="2"/>
  <c r="R18" i="2" s="1"/>
  <c r="T18" i="2" s="1"/>
  <c r="N19" i="2"/>
  <c r="R19" i="2" s="1"/>
  <c r="T19" i="2" s="1"/>
  <c r="N20" i="2"/>
  <c r="R20" i="2" s="1"/>
  <c r="T20" i="2" s="1"/>
  <c r="N21" i="2"/>
  <c r="R21" i="2" s="1"/>
  <c r="T21" i="2" s="1"/>
  <c r="N22" i="2"/>
  <c r="R22" i="2" s="1"/>
  <c r="T22" i="2" s="1"/>
  <c r="N23" i="2"/>
  <c r="R23" i="2" s="1"/>
  <c r="T23" i="2" s="1"/>
  <c r="N24" i="2"/>
  <c r="R24" i="2" s="1"/>
  <c r="T24" i="2" s="1"/>
  <c r="N3" i="2"/>
  <c r="R3" i="2" s="1"/>
  <c r="T3" i="2" s="1"/>
  <c r="I99" i="1" l="1"/>
  <c r="J99" i="1"/>
  <c r="Q98" i="1" l="1"/>
  <c r="P98" i="1"/>
  <c r="Q97" i="1"/>
  <c r="P97" i="1"/>
  <c r="V96" i="1"/>
  <c r="U96" i="1"/>
  <c r="T96" i="1"/>
  <c r="S96" i="1"/>
  <c r="R96" i="1"/>
  <c r="Q96" i="1"/>
  <c r="P96" i="1"/>
  <c r="O96" i="1"/>
  <c r="N96" i="1"/>
  <c r="M96" i="1"/>
  <c r="L96" i="1"/>
  <c r="K96" i="1"/>
  <c r="V95" i="1"/>
  <c r="U95" i="1"/>
  <c r="T95" i="1"/>
  <c r="S95" i="1"/>
  <c r="R95" i="1"/>
  <c r="Q95" i="1"/>
  <c r="P95" i="1"/>
  <c r="O95" i="1"/>
  <c r="N95" i="1"/>
  <c r="M95" i="1"/>
  <c r="L95" i="1"/>
  <c r="K95" i="1"/>
  <c r="V94" i="1"/>
  <c r="U94" i="1"/>
  <c r="T94" i="1"/>
  <c r="S94" i="1"/>
  <c r="R94" i="1"/>
  <c r="Q94" i="1"/>
  <c r="P94" i="1"/>
  <c r="O94" i="1"/>
  <c r="N93" i="1"/>
  <c r="M93" i="1"/>
  <c r="N92" i="1"/>
  <c r="M92" i="1"/>
  <c r="O91" i="1"/>
  <c r="N91" i="1"/>
  <c r="Q90" i="1"/>
  <c r="P90" i="1"/>
  <c r="O90" i="1"/>
  <c r="N89" i="1"/>
  <c r="M89" i="1"/>
  <c r="L89" i="1"/>
  <c r="K89" i="1"/>
  <c r="V88" i="1"/>
  <c r="U88" i="1"/>
  <c r="L88" i="1"/>
  <c r="K88" i="1"/>
  <c r="V87" i="1"/>
  <c r="U87" i="1"/>
  <c r="L87" i="1"/>
  <c r="K87" i="1"/>
  <c r="V86" i="1"/>
  <c r="U86" i="1"/>
  <c r="L86" i="1"/>
  <c r="K86" i="1"/>
  <c r="U85" i="1"/>
  <c r="T85" i="1"/>
  <c r="K85" i="1"/>
  <c r="U84" i="1"/>
  <c r="T84" i="1"/>
  <c r="K84" i="1"/>
  <c r="U83" i="1"/>
  <c r="T83" i="1"/>
  <c r="T82" i="1"/>
  <c r="S82" i="1"/>
  <c r="T81" i="1"/>
  <c r="S81" i="1"/>
  <c r="T80" i="1"/>
  <c r="S80" i="1"/>
  <c r="T79" i="1"/>
  <c r="S79" i="1"/>
  <c r="T78" i="1"/>
  <c r="S78" i="1"/>
  <c r="S77" i="1"/>
  <c r="R77" i="1"/>
  <c r="S76" i="1"/>
  <c r="R76" i="1"/>
  <c r="S75" i="1"/>
  <c r="R75" i="1"/>
  <c r="S74" i="1"/>
  <c r="R74" i="1"/>
  <c r="R73" i="1"/>
  <c r="Q73" i="1"/>
  <c r="R72" i="1"/>
  <c r="Q72" i="1"/>
  <c r="R71" i="1"/>
  <c r="Q71" i="1"/>
  <c r="R70" i="1"/>
  <c r="Q70" i="1"/>
  <c r="R69" i="1"/>
  <c r="Q69" i="1"/>
  <c r="R68" i="1"/>
  <c r="Q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G96" i="1"/>
  <c r="G95" i="1"/>
  <c r="G93" i="1"/>
  <c r="G89" i="1"/>
  <c r="G88" i="1"/>
  <c r="G87" i="1"/>
  <c r="G86" i="1"/>
  <c r="G85" i="1"/>
  <c r="G84" i="1"/>
  <c r="G83" i="1"/>
  <c r="F96" i="1"/>
  <c r="F95" i="1"/>
  <c r="F89" i="1"/>
  <c r="F88" i="1"/>
  <c r="F87" i="1"/>
  <c r="F86" i="1"/>
  <c r="F85" i="1"/>
  <c r="F84" i="1"/>
  <c r="F83" i="1"/>
  <c r="F82" i="1"/>
  <c r="F81" i="1"/>
  <c r="F80" i="1"/>
  <c r="F79" i="1"/>
  <c r="F78" i="1"/>
  <c r="E96" i="1"/>
  <c r="E95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D96" i="1"/>
  <c r="D95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T39" i="1"/>
  <c r="T91" i="1" s="1"/>
  <c r="V41" i="1" l="1"/>
  <c r="V93" i="1" s="1"/>
  <c r="U41" i="1"/>
  <c r="U93" i="1" s="1"/>
  <c r="T41" i="1"/>
  <c r="T93" i="1" s="1"/>
  <c r="S41" i="1"/>
  <c r="S93" i="1" s="1"/>
  <c r="R41" i="1"/>
  <c r="R93" i="1" s="1"/>
  <c r="Q41" i="1"/>
  <c r="Q93" i="1" s="1"/>
  <c r="P41" i="1"/>
  <c r="P93" i="1" s="1"/>
  <c r="O41" i="1"/>
  <c r="O93" i="1" s="1"/>
  <c r="L41" i="1"/>
  <c r="L93" i="1" s="1"/>
  <c r="K41" i="1"/>
  <c r="K93" i="1" s="1"/>
  <c r="H44" i="1"/>
  <c r="V46" i="1"/>
  <c r="V98" i="1" s="1"/>
  <c r="U46" i="1"/>
  <c r="U98" i="1" s="1"/>
  <c r="T46" i="1"/>
  <c r="T98" i="1" s="1"/>
  <c r="S46" i="1"/>
  <c r="S98" i="1" s="1"/>
  <c r="R46" i="1"/>
  <c r="R98" i="1" s="1"/>
  <c r="O46" i="1"/>
  <c r="O98" i="1" s="1"/>
  <c r="N46" i="1"/>
  <c r="N98" i="1" s="1"/>
  <c r="M46" i="1"/>
  <c r="M98" i="1" s="1"/>
  <c r="L46" i="1"/>
  <c r="L98" i="1" s="1"/>
  <c r="K46" i="1"/>
  <c r="K98" i="1" s="1"/>
  <c r="G46" i="1"/>
  <c r="G98" i="1" s="1"/>
  <c r="F46" i="1"/>
  <c r="F98" i="1" s="1"/>
  <c r="E46" i="1"/>
  <c r="E98" i="1" s="1"/>
  <c r="D46" i="1"/>
  <c r="D98" i="1" s="1"/>
  <c r="V45" i="1"/>
  <c r="V97" i="1" s="1"/>
  <c r="U45" i="1"/>
  <c r="U97" i="1" s="1"/>
  <c r="T45" i="1"/>
  <c r="T97" i="1" s="1"/>
  <c r="S45" i="1"/>
  <c r="S97" i="1" s="1"/>
  <c r="R45" i="1"/>
  <c r="R97" i="1" s="1"/>
  <c r="O45" i="1"/>
  <c r="O97" i="1" s="1"/>
  <c r="N45" i="1"/>
  <c r="N97" i="1" s="1"/>
  <c r="M45" i="1"/>
  <c r="M97" i="1" s="1"/>
  <c r="L45" i="1"/>
  <c r="L97" i="1" s="1"/>
  <c r="K45" i="1"/>
  <c r="K97" i="1" s="1"/>
  <c r="G45" i="1"/>
  <c r="G97" i="1" s="1"/>
  <c r="F45" i="1"/>
  <c r="F97" i="1" s="1"/>
  <c r="E45" i="1"/>
  <c r="E97" i="1" s="1"/>
  <c r="D45" i="1"/>
  <c r="D97" i="1" s="1"/>
  <c r="H31" i="1"/>
  <c r="H32" i="1"/>
  <c r="H33" i="1"/>
  <c r="H34" i="1"/>
  <c r="H35" i="1"/>
  <c r="H36" i="1"/>
  <c r="H37" i="1"/>
  <c r="H43" i="1"/>
  <c r="W43" i="1"/>
  <c r="W44" i="1"/>
  <c r="E42" i="1"/>
  <c r="E94" i="1" s="1"/>
  <c r="F42" i="1"/>
  <c r="F94" i="1" s="1"/>
  <c r="G42" i="1"/>
  <c r="G94" i="1" s="1"/>
  <c r="K42" i="1"/>
  <c r="K94" i="1" s="1"/>
  <c r="L42" i="1"/>
  <c r="L94" i="1" s="1"/>
  <c r="M42" i="1"/>
  <c r="M94" i="1" s="1"/>
  <c r="N42" i="1"/>
  <c r="N94" i="1" s="1"/>
  <c r="D42" i="1"/>
  <c r="D94" i="1" s="1"/>
  <c r="X44" i="1" l="1"/>
  <c r="W96" i="1"/>
  <c r="X43" i="1"/>
  <c r="W95" i="1"/>
  <c r="I36" i="1"/>
  <c r="H88" i="1"/>
  <c r="I32" i="1"/>
  <c r="H84" i="1"/>
  <c r="I37" i="1"/>
  <c r="H89" i="1"/>
  <c r="I31" i="1"/>
  <c r="H83" i="1"/>
  <c r="I33" i="1"/>
  <c r="H85" i="1"/>
  <c r="I35" i="1"/>
  <c r="H87" i="1"/>
  <c r="I43" i="1"/>
  <c r="H95" i="1"/>
  <c r="I34" i="1"/>
  <c r="H86" i="1"/>
  <c r="I44" i="1"/>
  <c r="H96" i="1"/>
  <c r="W41" i="1"/>
  <c r="W46" i="1"/>
  <c r="W45" i="1"/>
  <c r="H45" i="1"/>
  <c r="H46" i="1"/>
  <c r="W42" i="1"/>
  <c r="H42" i="1"/>
  <c r="E41" i="1"/>
  <c r="E93" i="1" s="1"/>
  <c r="F41" i="1"/>
  <c r="F93" i="1" s="1"/>
  <c r="D41" i="1"/>
  <c r="D93" i="1" s="1"/>
  <c r="X42" i="1" l="1"/>
  <c r="W94" i="1"/>
  <c r="X41" i="1"/>
  <c r="W93" i="1"/>
  <c r="X46" i="1"/>
  <c r="W98" i="1"/>
  <c r="X45" i="1"/>
  <c r="W97" i="1"/>
  <c r="I45" i="1"/>
  <c r="H97" i="1"/>
  <c r="I46" i="1"/>
  <c r="H98" i="1"/>
  <c r="I42" i="1"/>
  <c r="H94" i="1"/>
  <c r="H41" i="1"/>
  <c r="V40" i="1"/>
  <c r="V92" i="1" s="1"/>
  <c r="U40" i="1"/>
  <c r="U92" i="1" s="1"/>
  <c r="T40" i="1"/>
  <c r="T92" i="1" s="1"/>
  <c r="S40" i="1"/>
  <c r="S92" i="1" s="1"/>
  <c r="R40" i="1"/>
  <c r="R92" i="1" s="1"/>
  <c r="Q40" i="1"/>
  <c r="Q92" i="1" s="1"/>
  <c r="P40" i="1"/>
  <c r="P92" i="1" s="1"/>
  <c r="O40" i="1"/>
  <c r="O92" i="1" s="1"/>
  <c r="V39" i="1"/>
  <c r="V91" i="1" s="1"/>
  <c r="U39" i="1"/>
  <c r="U91" i="1" s="1"/>
  <c r="S39" i="1"/>
  <c r="S91" i="1" s="1"/>
  <c r="R39" i="1"/>
  <c r="R91" i="1" s="1"/>
  <c r="Q39" i="1"/>
  <c r="Q91" i="1" s="1"/>
  <c r="P39" i="1"/>
  <c r="P91" i="1" s="1"/>
  <c r="L40" i="1"/>
  <c r="L92" i="1" s="1"/>
  <c r="K40" i="1"/>
  <c r="K92" i="1" s="1"/>
  <c r="G40" i="1"/>
  <c r="G92" i="1" s="1"/>
  <c r="F40" i="1"/>
  <c r="F92" i="1" s="1"/>
  <c r="E40" i="1"/>
  <c r="E92" i="1" s="1"/>
  <c r="D92" i="1"/>
  <c r="M39" i="1"/>
  <c r="M91" i="1" s="1"/>
  <c r="L39" i="1"/>
  <c r="L91" i="1" s="1"/>
  <c r="K39" i="1"/>
  <c r="K91" i="1" s="1"/>
  <c r="G39" i="1"/>
  <c r="G91" i="1" s="1"/>
  <c r="F39" i="1"/>
  <c r="F91" i="1" s="1"/>
  <c r="E39" i="1"/>
  <c r="E91" i="1" s="1"/>
  <c r="D39" i="1"/>
  <c r="D91" i="1" s="1"/>
  <c r="V38" i="1"/>
  <c r="V90" i="1" s="1"/>
  <c r="U38" i="1"/>
  <c r="U90" i="1" s="1"/>
  <c r="T38" i="1"/>
  <c r="T90" i="1" s="1"/>
  <c r="S38" i="1"/>
  <c r="S90" i="1" s="1"/>
  <c r="R38" i="1"/>
  <c r="R90" i="1" s="1"/>
  <c r="N38" i="1"/>
  <c r="N90" i="1" s="1"/>
  <c r="M38" i="1"/>
  <c r="M90" i="1" s="1"/>
  <c r="L38" i="1"/>
  <c r="L90" i="1" s="1"/>
  <c r="K38" i="1"/>
  <c r="K90" i="1" s="1"/>
  <c r="G38" i="1"/>
  <c r="G90" i="1" s="1"/>
  <c r="F38" i="1"/>
  <c r="F90" i="1" s="1"/>
  <c r="E38" i="1"/>
  <c r="E90" i="1" s="1"/>
  <c r="D38" i="1"/>
  <c r="D90" i="1" s="1"/>
  <c r="S31" i="1"/>
  <c r="S83" i="1" s="1"/>
  <c r="R31" i="1"/>
  <c r="R83" i="1" s="1"/>
  <c r="Q31" i="1"/>
  <c r="Q83" i="1" s="1"/>
  <c r="P31" i="1"/>
  <c r="P83" i="1" s="1"/>
  <c r="O31" i="1"/>
  <c r="O83" i="1" s="1"/>
  <c r="N31" i="1"/>
  <c r="N83" i="1" s="1"/>
  <c r="M31" i="1"/>
  <c r="M83" i="1" s="1"/>
  <c r="L31" i="1"/>
  <c r="L83" i="1" s="1"/>
  <c r="K31" i="1"/>
  <c r="K83" i="1" s="1"/>
  <c r="V31" i="1"/>
  <c r="V83" i="1" s="1"/>
  <c r="V37" i="1"/>
  <c r="V89" i="1" s="1"/>
  <c r="U37" i="1"/>
  <c r="U89" i="1" s="1"/>
  <c r="T37" i="1"/>
  <c r="T89" i="1" s="1"/>
  <c r="S37" i="1"/>
  <c r="S89" i="1" s="1"/>
  <c r="R37" i="1"/>
  <c r="R89" i="1" s="1"/>
  <c r="Q37" i="1"/>
  <c r="Q89" i="1" s="1"/>
  <c r="P37" i="1"/>
  <c r="P89" i="1" s="1"/>
  <c r="O37" i="1"/>
  <c r="O89" i="1" s="1"/>
  <c r="T36" i="1"/>
  <c r="T88" i="1" s="1"/>
  <c r="S36" i="1"/>
  <c r="S88" i="1" s="1"/>
  <c r="R36" i="1"/>
  <c r="R88" i="1" s="1"/>
  <c r="Q36" i="1"/>
  <c r="Q88" i="1" s="1"/>
  <c r="P36" i="1"/>
  <c r="P88" i="1" s="1"/>
  <c r="O36" i="1"/>
  <c r="O88" i="1" s="1"/>
  <c r="N36" i="1"/>
  <c r="N88" i="1" s="1"/>
  <c r="M36" i="1"/>
  <c r="M88" i="1" s="1"/>
  <c r="I41" i="1" l="1"/>
  <c r="H93" i="1"/>
  <c r="H39" i="1"/>
  <c r="W36" i="1"/>
  <c r="W37" i="1"/>
  <c r="W39" i="1"/>
  <c r="W31" i="1"/>
  <c r="H38" i="1"/>
  <c r="W38" i="1"/>
  <c r="H40" i="1"/>
  <c r="W40" i="1"/>
  <c r="T35" i="1"/>
  <c r="T87" i="1" s="1"/>
  <c r="S35" i="1"/>
  <c r="S87" i="1" s="1"/>
  <c r="R35" i="1"/>
  <c r="R87" i="1" s="1"/>
  <c r="Q35" i="1"/>
  <c r="Q87" i="1" s="1"/>
  <c r="P35" i="1"/>
  <c r="P87" i="1" s="1"/>
  <c r="O35" i="1"/>
  <c r="O87" i="1" s="1"/>
  <c r="N35" i="1"/>
  <c r="N87" i="1" s="1"/>
  <c r="M35" i="1"/>
  <c r="M87" i="1" s="1"/>
  <c r="T34" i="1"/>
  <c r="T86" i="1" s="1"/>
  <c r="S34" i="1"/>
  <c r="S86" i="1" s="1"/>
  <c r="R34" i="1"/>
  <c r="R86" i="1" s="1"/>
  <c r="Q34" i="1"/>
  <c r="Q86" i="1" s="1"/>
  <c r="P34" i="1"/>
  <c r="P86" i="1" s="1"/>
  <c r="O34" i="1"/>
  <c r="O86" i="1" s="1"/>
  <c r="N34" i="1"/>
  <c r="N86" i="1" s="1"/>
  <c r="M34" i="1"/>
  <c r="M86" i="1" s="1"/>
  <c r="V33" i="1"/>
  <c r="V85" i="1" s="1"/>
  <c r="S33" i="1"/>
  <c r="S85" i="1" s="1"/>
  <c r="R33" i="1"/>
  <c r="R85" i="1" s="1"/>
  <c r="Q33" i="1"/>
  <c r="Q85" i="1" s="1"/>
  <c r="P33" i="1"/>
  <c r="P85" i="1" s="1"/>
  <c r="O33" i="1"/>
  <c r="O85" i="1" s="1"/>
  <c r="N33" i="1"/>
  <c r="N85" i="1" s="1"/>
  <c r="M33" i="1"/>
  <c r="M85" i="1" s="1"/>
  <c r="L33" i="1"/>
  <c r="L85" i="1" s="1"/>
  <c r="X36" i="1" l="1"/>
  <c r="W88" i="1"/>
  <c r="X31" i="1"/>
  <c r="W83" i="1"/>
  <c r="X39" i="1"/>
  <c r="W91" i="1"/>
  <c r="X40" i="1"/>
  <c r="W92" i="1"/>
  <c r="X38" i="1"/>
  <c r="W90" i="1"/>
  <c r="X37" i="1"/>
  <c r="W89" i="1"/>
  <c r="I38" i="1"/>
  <c r="H90" i="1"/>
  <c r="I39" i="1"/>
  <c r="H91" i="1"/>
  <c r="I40" i="1"/>
  <c r="H92" i="1"/>
  <c r="W34" i="1"/>
  <c r="W35" i="1"/>
  <c r="W33" i="1"/>
  <c r="V32" i="1"/>
  <c r="V84" i="1" s="1"/>
  <c r="S32" i="1"/>
  <c r="S84" i="1" s="1"/>
  <c r="R32" i="1"/>
  <c r="R84" i="1" s="1"/>
  <c r="Q32" i="1"/>
  <c r="Q84" i="1" s="1"/>
  <c r="P32" i="1"/>
  <c r="P84" i="1" s="1"/>
  <c r="O32" i="1"/>
  <c r="O84" i="1" s="1"/>
  <c r="N32" i="1"/>
  <c r="N84" i="1" s="1"/>
  <c r="M32" i="1"/>
  <c r="M84" i="1" s="1"/>
  <c r="L32" i="1"/>
  <c r="L84" i="1" s="1"/>
  <c r="V30" i="1"/>
  <c r="V82" i="1" s="1"/>
  <c r="U30" i="1"/>
  <c r="U82" i="1" s="1"/>
  <c r="R30" i="1"/>
  <c r="R82" i="1" s="1"/>
  <c r="Q30" i="1"/>
  <c r="Q82" i="1" s="1"/>
  <c r="P30" i="1"/>
  <c r="P82" i="1" s="1"/>
  <c r="O30" i="1"/>
  <c r="O82" i="1" s="1"/>
  <c r="N30" i="1"/>
  <c r="N82" i="1" s="1"/>
  <c r="M30" i="1"/>
  <c r="M82" i="1" s="1"/>
  <c r="L30" i="1"/>
  <c r="L82" i="1" s="1"/>
  <c r="K30" i="1"/>
  <c r="K82" i="1" s="1"/>
  <c r="G30" i="1"/>
  <c r="V29" i="1"/>
  <c r="V81" i="1" s="1"/>
  <c r="U29" i="1"/>
  <c r="U81" i="1" s="1"/>
  <c r="R29" i="1"/>
  <c r="R81" i="1" s="1"/>
  <c r="Q29" i="1"/>
  <c r="Q81" i="1" s="1"/>
  <c r="P29" i="1"/>
  <c r="P81" i="1" s="1"/>
  <c r="O29" i="1"/>
  <c r="O81" i="1" s="1"/>
  <c r="N29" i="1"/>
  <c r="N81" i="1" s="1"/>
  <c r="M29" i="1"/>
  <c r="M81" i="1" s="1"/>
  <c r="L29" i="1"/>
  <c r="L81" i="1" s="1"/>
  <c r="K29" i="1"/>
  <c r="K81" i="1" s="1"/>
  <c r="G29" i="1"/>
  <c r="V28" i="1"/>
  <c r="V80" i="1" s="1"/>
  <c r="U28" i="1"/>
  <c r="U80" i="1" s="1"/>
  <c r="R28" i="1"/>
  <c r="R80" i="1" s="1"/>
  <c r="Q28" i="1"/>
  <c r="Q80" i="1" s="1"/>
  <c r="P28" i="1"/>
  <c r="P80" i="1" s="1"/>
  <c r="O28" i="1"/>
  <c r="O80" i="1" s="1"/>
  <c r="N28" i="1"/>
  <c r="N80" i="1" s="1"/>
  <c r="M28" i="1"/>
  <c r="M80" i="1" s="1"/>
  <c r="L28" i="1"/>
  <c r="L80" i="1" s="1"/>
  <c r="K28" i="1"/>
  <c r="K80" i="1" s="1"/>
  <c r="G28" i="1"/>
  <c r="V27" i="1"/>
  <c r="V79" i="1" s="1"/>
  <c r="U27" i="1"/>
  <c r="U79" i="1" s="1"/>
  <c r="R27" i="1"/>
  <c r="R79" i="1" s="1"/>
  <c r="Q27" i="1"/>
  <c r="Q79" i="1" s="1"/>
  <c r="P27" i="1"/>
  <c r="P79" i="1" s="1"/>
  <c r="O27" i="1"/>
  <c r="O79" i="1" s="1"/>
  <c r="N27" i="1"/>
  <c r="N79" i="1" s="1"/>
  <c r="M27" i="1"/>
  <c r="M79" i="1" s="1"/>
  <c r="L27" i="1"/>
  <c r="L79" i="1" s="1"/>
  <c r="K27" i="1"/>
  <c r="K79" i="1" s="1"/>
  <c r="G27" i="1"/>
  <c r="V25" i="1"/>
  <c r="V77" i="1" s="1"/>
  <c r="U25" i="1"/>
  <c r="U77" i="1" s="1"/>
  <c r="T25" i="1"/>
  <c r="T77" i="1" s="1"/>
  <c r="Q25" i="1"/>
  <c r="Q77" i="1" s="1"/>
  <c r="P25" i="1"/>
  <c r="P77" i="1" s="1"/>
  <c r="O25" i="1"/>
  <c r="O77" i="1" s="1"/>
  <c r="N25" i="1"/>
  <c r="N77" i="1" s="1"/>
  <c r="M25" i="1"/>
  <c r="M77" i="1" s="1"/>
  <c r="L25" i="1"/>
  <c r="L77" i="1" s="1"/>
  <c r="K25" i="1"/>
  <c r="K77" i="1" s="1"/>
  <c r="G25" i="1"/>
  <c r="G77" i="1" s="1"/>
  <c r="F25" i="1"/>
  <c r="V26" i="1"/>
  <c r="V78" i="1" s="1"/>
  <c r="U26" i="1"/>
  <c r="U78" i="1" s="1"/>
  <c r="R26" i="1"/>
  <c r="R78" i="1" s="1"/>
  <c r="Q26" i="1"/>
  <c r="Q78" i="1" s="1"/>
  <c r="P26" i="1"/>
  <c r="P78" i="1" s="1"/>
  <c r="O26" i="1"/>
  <c r="O78" i="1" s="1"/>
  <c r="N26" i="1"/>
  <c r="N78" i="1" s="1"/>
  <c r="M26" i="1"/>
  <c r="M78" i="1" s="1"/>
  <c r="L26" i="1"/>
  <c r="L78" i="1" s="1"/>
  <c r="K26" i="1"/>
  <c r="K78" i="1" s="1"/>
  <c r="G26" i="1"/>
  <c r="V24" i="1"/>
  <c r="V76" i="1" s="1"/>
  <c r="U24" i="1"/>
  <c r="U76" i="1" s="1"/>
  <c r="T24" i="1"/>
  <c r="T76" i="1" s="1"/>
  <c r="Q24" i="1"/>
  <c r="Q76" i="1" s="1"/>
  <c r="P24" i="1"/>
  <c r="P76" i="1" s="1"/>
  <c r="O24" i="1"/>
  <c r="O76" i="1" s="1"/>
  <c r="N24" i="1"/>
  <c r="N76" i="1" s="1"/>
  <c r="M24" i="1"/>
  <c r="M76" i="1" s="1"/>
  <c r="L24" i="1"/>
  <c r="L76" i="1" s="1"/>
  <c r="K24" i="1"/>
  <c r="K76" i="1" s="1"/>
  <c r="G24" i="1"/>
  <c r="G76" i="1" s="1"/>
  <c r="F24" i="1"/>
  <c r="F76" i="1" s="1"/>
  <c r="V23" i="1"/>
  <c r="V75" i="1" s="1"/>
  <c r="U23" i="1"/>
  <c r="U75" i="1" s="1"/>
  <c r="T23" i="1"/>
  <c r="T75" i="1" s="1"/>
  <c r="Q23" i="1"/>
  <c r="Q75" i="1" s="1"/>
  <c r="P23" i="1"/>
  <c r="P75" i="1" s="1"/>
  <c r="O23" i="1"/>
  <c r="O75" i="1" s="1"/>
  <c r="N23" i="1"/>
  <c r="N75" i="1" s="1"/>
  <c r="M23" i="1"/>
  <c r="M75" i="1" s="1"/>
  <c r="L23" i="1"/>
  <c r="L75" i="1" s="1"/>
  <c r="K23" i="1"/>
  <c r="K75" i="1" s="1"/>
  <c r="G23" i="1"/>
  <c r="G75" i="1" s="1"/>
  <c r="F23" i="1"/>
  <c r="F75" i="1" s="1"/>
  <c r="V22" i="1"/>
  <c r="V74" i="1" s="1"/>
  <c r="U22" i="1"/>
  <c r="U74" i="1" s="1"/>
  <c r="T22" i="1"/>
  <c r="T74" i="1" s="1"/>
  <c r="Q22" i="1"/>
  <c r="Q74" i="1" s="1"/>
  <c r="P22" i="1"/>
  <c r="P74" i="1" s="1"/>
  <c r="O22" i="1"/>
  <c r="O74" i="1" s="1"/>
  <c r="N22" i="1"/>
  <c r="N74" i="1" s="1"/>
  <c r="M22" i="1"/>
  <c r="M74" i="1" s="1"/>
  <c r="L22" i="1"/>
  <c r="L74" i="1" s="1"/>
  <c r="K22" i="1"/>
  <c r="K74" i="1" s="1"/>
  <c r="G22" i="1"/>
  <c r="G74" i="1" s="1"/>
  <c r="F22" i="1"/>
  <c r="F74" i="1" s="1"/>
  <c r="V21" i="1"/>
  <c r="V73" i="1" s="1"/>
  <c r="U21" i="1"/>
  <c r="U73" i="1" s="1"/>
  <c r="T21" i="1"/>
  <c r="T73" i="1" s="1"/>
  <c r="S21" i="1"/>
  <c r="S73" i="1" s="1"/>
  <c r="P21" i="1"/>
  <c r="P73" i="1" s="1"/>
  <c r="O21" i="1"/>
  <c r="O73" i="1" s="1"/>
  <c r="N21" i="1"/>
  <c r="N73" i="1" s="1"/>
  <c r="M21" i="1"/>
  <c r="M73" i="1" s="1"/>
  <c r="L21" i="1"/>
  <c r="L73" i="1" s="1"/>
  <c r="K21" i="1"/>
  <c r="K73" i="1" s="1"/>
  <c r="G21" i="1"/>
  <c r="G73" i="1" s="1"/>
  <c r="F21" i="1"/>
  <c r="F73" i="1" s="1"/>
  <c r="E21" i="1"/>
  <c r="E73" i="1" s="1"/>
  <c r="V20" i="1"/>
  <c r="V72" i="1" s="1"/>
  <c r="U20" i="1"/>
  <c r="U72" i="1" s="1"/>
  <c r="T20" i="1"/>
  <c r="T72" i="1" s="1"/>
  <c r="S20" i="1"/>
  <c r="S72" i="1" s="1"/>
  <c r="P20" i="1"/>
  <c r="P72" i="1" s="1"/>
  <c r="O20" i="1"/>
  <c r="O72" i="1" s="1"/>
  <c r="N20" i="1"/>
  <c r="N72" i="1" s="1"/>
  <c r="M20" i="1"/>
  <c r="M72" i="1" s="1"/>
  <c r="L20" i="1"/>
  <c r="L72" i="1" s="1"/>
  <c r="K20" i="1"/>
  <c r="K72" i="1" s="1"/>
  <c r="G20" i="1"/>
  <c r="G72" i="1" s="1"/>
  <c r="F20" i="1"/>
  <c r="F72" i="1" s="1"/>
  <c r="E20" i="1"/>
  <c r="E72" i="1" s="1"/>
  <c r="V19" i="1"/>
  <c r="V71" i="1" s="1"/>
  <c r="U19" i="1"/>
  <c r="U71" i="1" s="1"/>
  <c r="T19" i="1"/>
  <c r="T71" i="1" s="1"/>
  <c r="S19" i="1"/>
  <c r="S71" i="1" s="1"/>
  <c r="P19" i="1"/>
  <c r="P71" i="1" s="1"/>
  <c r="O19" i="1"/>
  <c r="O71" i="1" s="1"/>
  <c r="N19" i="1"/>
  <c r="N71" i="1" s="1"/>
  <c r="M19" i="1"/>
  <c r="M71" i="1" s="1"/>
  <c r="L19" i="1"/>
  <c r="L71" i="1" s="1"/>
  <c r="K19" i="1"/>
  <c r="K71" i="1" s="1"/>
  <c r="G19" i="1"/>
  <c r="G71" i="1" s="1"/>
  <c r="F19" i="1"/>
  <c r="F71" i="1" s="1"/>
  <c r="E19" i="1"/>
  <c r="E71" i="1" s="1"/>
  <c r="V18" i="1"/>
  <c r="V70" i="1" s="1"/>
  <c r="U18" i="1"/>
  <c r="U70" i="1" s="1"/>
  <c r="T18" i="1"/>
  <c r="T70" i="1" s="1"/>
  <c r="S18" i="1"/>
  <c r="S70" i="1" s="1"/>
  <c r="P18" i="1"/>
  <c r="P70" i="1" s="1"/>
  <c r="O18" i="1"/>
  <c r="O70" i="1" s="1"/>
  <c r="N18" i="1"/>
  <c r="N70" i="1" s="1"/>
  <c r="M18" i="1"/>
  <c r="M70" i="1" s="1"/>
  <c r="L18" i="1"/>
  <c r="L70" i="1" s="1"/>
  <c r="K18" i="1"/>
  <c r="K70" i="1" s="1"/>
  <c r="G18" i="1"/>
  <c r="G70" i="1" s="1"/>
  <c r="F18" i="1"/>
  <c r="F70" i="1" s="1"/>
  <c r="E18" i="1"/>
  <c r="E70" i="1" s="1"/>
  <c r="V17" i="1"/>
  <c r="V69" i="1" s="1"/>
  <c r="U17" i="1"/>
  <c r="U69" i="1" s="1"/>
  <c r="T17" i="1"/>
  <c r="T69" i="1" s="1"/>
  <c r="S17" i="1"/>
  <c r="S69" i="1" s="1"/>
  <c r="P17" i="1"/>
  <c r="P69" i="1" s="1"/>
  <c r="O17" i="1"/>
  <c r="O69" i="1" s="1"/>
  <c r="N17" i="1"/>
  <c r="N69" i="1" s="1"/>
  <c r="M17" i="1"/>
  <c r="M69" i="1" s="1"/>
  <c r="L17" i="1"/>
  <c r="L69" i="1" s="1"/>
  <c r="K17" i="1"/>
  <c r="K69" i="1" s="1"/>
  <c r="G17" i="1"/>
  <c r="G69" i="1" s="1"/>
  <c r="F17" i="1"/>
  <c r="F69" i="1" s="1"/>
  <c r="E17" i="1"/>
  <c r="E69" i="1" s="1"/>
  <c r="V16" i="1"/>
  <c r="V68" i="1" s="1"/>
  <c r="U16" i="1"/>
  <c r="U68" i="1" s="1"/>
  <c r="T16" i="1"/>
  <c r="T68" i="1" s="1"/>
  <c r="S16" i="1"/>
  <c r="S68" i="1" s="1"/>
  <c r="P16" i="1"/>
  <c r="P68" i="1" s="1"/>
  <c r="O16" i="1"/>
  <c r="O68" i="1" s="1"/>
  <c r="N16" i="1"/>
  <c r="N68" i="1" s="1"/>
  <c r="M16" i="1"/>
  <c r="M68" i="1" s="1"/>
  <c r="L16" i="1"/>
  <c r="L68" i="1" s="1"/>
  <c r="K16" i="1"/>
  <c r="K68" i="1" s="1"/>
  <c r="G16" i="1"/>
  <c r="G68" i="1" s="1"/>
  <c r="F16" i="1"/>
  <c r="F68" i="1" s="1"/>
  <c r="E16" i="1"/>
  <c r="E68" i="1" s="1"/>
  <c r="V15" i="1"/>
  <c r="V67" i="1" s="1"/>
  <c r="U15" i="1"/>
  <c r="U67" i="1" s="1"/>
  <c r="T15" i="1"/>
  <c r="T67" i="1" s="1"/>
  <c r="S15" i="1"/>
  <c r="S67" i="1" s="1"/>
  <c r="R15" i="1"/>
  <c r="R67" i="1" s="1"/>
  <c r="O15" i="1"/>
  <c r="O67" i="1" s="1"/>
  <c r="N15" i="1"/>
  <c r="N67" i="1" s="1"/>
  <c r="M15" i="1"/>
  <c r="M67" i="1" s="1"/>
  <c r="L15" i="1"/>
  <c r="L67" i="1" s="1"/>
  <c r="K15" i="1"/>
  <c r="K67" i="1" s="1"/>
  <c r="G15" i="1"/>
  <c r="G67" i="1" s="1"/>
  <c r="F15" i="1"/>
  <c r="F67" i="1" s="1"/>
  <c r="E15" i="1"/>
  <c r="E67" i="1" s="1"/>
  <c r="D15" i="1"/>
  <c r="D67" i="1" s="1"/>
  <c r="V14" i="1"/>
  <c r="V66" i="1" s="1"/>
  <c r="U14" i="1"/>
  <c r="U66" i="1" s="1"/>
  <c r="T14" i="1"/>
  <c r="T66" i="1" s="1"/>
  <c r="S14" i="1"/>
  <c r="S66" i="1" s="1"/>
  <c r="R14" i="1"/>
  <c r="R66" i="1" s="1"/>
  <c r="O14" i="1"/>
  <c r="O66" i="1" s="1"/>
  <c r="N14" i="1"/>
  <c r="N66" i="1" s="1"/>
  <c r="M14" i="1"/>
  <c r="M66" i="1" s="1"/>
  <c r="L14" i="1"/>
  <c r="L66" i="1" s="1"/>
  <c r="K14" i="1"/>
  <c r="K66" i="1" s="1"/>
  <c r="G14" i="1"/>
  <c r="G66" i="1" s="1"/>
  <c r="F14" i="1"/>
  <c r="F66" i="1" s="1"/>
  <c r="E14" i="1"/>
  <c r="E66" i="1" s="1"/>
  <c r="D14" i="1"/>
  <c r="D66" i="1" s="1"/>
  <c r="V13" i="1"/>
  <c r="V65" i="1" s="1"/>
  <c r="U13" i="1"/>
  <c r="U65" i="1" s="1"/>
  <c r="T13" i="1"/>
  <c r="T65" i="1" s="1"/>
  <c r="S13" i="1"/>
  <c r="S65" i="1" s="1"/>
  <c r="R13" i="1"/>
  <c r="R65" i="1" s="1"/>
  <c r="O13" i="1"/>
  <c r="O65" i="1" s="1"/>
  <c r="N13" i="1"/>
  <c r="N65" i="1" s="1"/>
  <c r="M13" i="1"/>
  <c r="M65" i="1" s="1"/>
  <c r="L13" i="1"/>
  <c r="L65" i="1" s="1"/>
  <c r="K13" i="1"/>
  <c r="K65" i="1" s="1"/>
  <c r="G13" i="1"/>
  <c r="G65" i="1" s="1"/>
  <c r="F13" i="1"/>
  <c r="F65" i="1" s="1"/>
  <c r="E13" i="1"/>
  <c r="E65" i="1" s="1"/>
  <c r="D13" i="1"/>
  <c r="D65" i="1" s="1"/>
  <c r="V12" i="1"/>
  <c r="V64" i="1" s="1"/>
  <c r="U12" i="1"/>
  <c r="U64" i="1" s="1"/>
  <c r="T12" i="1"/>
  <c r="T64" i="1" s="1"/>
  <c r="S12" i="1"/>
  <c r="S64" i="1" s="1"/>
  <c r="R12" i="1"/>
  <c r="R64" i="1" s="1"/>
  <c r="O12" i="1"/>
  <c r="O64" i="1" s="1"/>
  <c r="N12" i="1"/>
  <c r="N64" i="1" s="1"/>
  <c r="M12" i="1"/>
  <c r="M64" i="1" s="1"/>
  <c r="L12" i="1"/>
  <c r="L64" i="1" s="1"/>
  <c r="K12" i="1"/>
  <c r="K64" i="1" s="1"/>
  <c r="G12" i="1"/>
  <c r="G64" i="1" s="1"/>
  <c r="F12" i="1"/>
  <c r="F64" i="1" s="1"/>
  <c r="E12" i="1"/>
  <c r="E64" i="1" s="1"/>
  <c r="D12" i="1"/>
  <c r="D64" i="1" s="1"/>
  <c r="V11" i="1"/>
  <c r="V63" i="1" s="1"/>
  <c r="U11" i="1"/>
  <c r="U63" i="1" s="1"/>
  <c r="T11" i="1"/>
  <c r="T63" i="1" s="1"/>
  <c r="S11" i="1"/>
  <c r="S63" i="1" s="1"/>
  <c r="R11" i="1"/>
  <c r="R63" i="1" s="1"/>
  <c r="O11" i="1"/>
  <c r="O63" i="1" s="1"/>
  <c r="N11" i="1"/>
  <c r="N63" i="1" s="1"/>
  <c r="M11" i="1"/>
  <c r="M63" i="1" s="1"/>
  <c r="L11" i="1"/>
  <c r="L63" i="1" s="1"/>
  <c r="K11" i="1"/>
  <c r="K63" i="1" s="1"/>
  <c r="G11" i="1"/>
  <c r="G63" i="1" s="1"/>
  <c r="F11" i="1"/>
  <c r="F63" i="1" s="1"/>
  <c r="E11" i="1"/>
  <c r="E63" i="1" s="1"/>
  <c r="D11" i="1"/>
  <c r="D63" i="1" s="1"/>
  <c r="V10" i="1"/>
  <c r="V62" i="1" s="1"/>
  <c r="U10" i="1"/>
  <c r="U62" i="1" s="1"/>
  <c r="T10" i="1"/>
  <c r="T62" i="1" s="1"/>
  <c r="S10" i="1"/>
  <c r="S62" i="1" s="1"/>
  <c r="R10" i="1"/>
  <c r="R62" i="1" s="1"/>
  <c r="O10" i="1"/>
  <c r="O62" i="1" s="1"/>
  <c r="N10" i="1"/>
  <c r="N62" i="1" s="1"/>
  <c r="M10" i="1"/>
  <c r="M62" i="1" s="1"/>
  <c r="L10" i="1"/>
  <c r="L62" i="1" s="1"/>
  <c r="K10" i="1"/>
  <c r="K62" i="1" s="1"/>
  <c r="G10" i="1"/>
  <c r="G62" i="1" s="1"/>
  <c r="F10" i="1"/>
  <c r="F62" i="1" s="1"/>
  <c r="E10" i="1"/>
  <c r="E62" i="1" s="1"/>
  <c r="D10" i="1"/>
  <c r="D62" i="1" s="1"/>
  <c r="V9" i="1"/>
  <c r="V61" i="1" s="1"/>
  <c r="U9" i="1"/>
  <c r="U61" i="1" s="1"/>
  <c r="T9" i="1"/>
  <c r="T61" i="1" s="1"/>
  <c r="S9" i="1"/>
  <c r="S61" i="1" s="1"/>
  <c r="R9" i="1"/>
  <c r="R61" i="1" s="1"/>
  <c r="O9" i="1"/>
  <c r="O61" i="1" s="1"/>
  <c r="N9" i="1"/>
  <c r="N61" i="1" s="1"/>
  <c r="M9" i="1"/>
  <c r="M61" i="1" s="1"/>
  <c r="L9" i="1"/>
  <c r="L61" i="1" s="1"/>
  <c r="K9" i="1"/>
  <c r="K61" i="1" s="1"/>
  <c r="G9" i="1"/>
  <c r="G61" i="1" s="1"/>
  <c r="F9" i="1"/>
  <c r="F61" i="1" s="1"/>
  <c r="E9" i="1"/>
  <c r="E61" i="1" s="1"/>
  <c r="D9" i="1"/>
  <c r="D61" i="1" s="1"/>
  <c r="V8" i="1"/>
  <c r="V60" i="1" s="1"/>
  <c r="U8" i="1"/>
  <c r="U60" i="1" s="1"/>
  <c r="T8" i="1"/>
  <c r="T60" i="1" s="1"/>
  <c r="S8" i="1"/>
  <c r="S60" i="1" s="1"/>
  <c r="R8" i="1"/>
  <c r="R60" i="1" s="1"/>
  <c r="O8" i="1"/>
  <c r="O60" i="1" s="1"/>
  <c r="N8" i="1"/>
  <c r="N60" i="1" s="1"/>
  <c r="M8" i="1"/>
  <c r="M60" i="1" s="1"/>
  <c r="L8" i="1"/>
  <c r="L60" i="1" s="1"/>
  <c r="K8" i="1"/>
  <c r="K60" i="1" s="1"/>
  <c r="G8" i="1"/>
  <c r="G60" i="1" s="1"/>
  <c r="F8" i="1"/>
  <c r="F60" i="1" s="1"/>
  <c r="E8" i="1"/>
  <c r="E60" i="1" s="1"/>
  <c r="D8" i="1"/>
  <c r="D60" i="1" s="1"/>
  <c r="V7" i="1"/>
  <c r="V59" i="1" s="1"/>
  <c r="U7" i="1"/>
  <c r="U59" i="1" s="1"/>
  <c r="T7" i="1"/>
  <c r="T59" i="1" s="1"/>
  <c r="S7" i="1"/>
  <c r="S59" i="1" s="1"/>
  <c r="R7" i="1"/>
  <c r="R59" i="1" s="1"/>
  <c r="O7" i="1"/>
  <c r="O59" i="1" s="1"/>
  <c r="N7" i="1"/>
  <c r="N59" i="1" s="1"/>
  <c r="M7" i="1"/>
  <c r="M59" i="1" s="1"/>
  <c r="L7" i="1"/>
  <c r="L59" i="1" s="1"/>
  <c r="K7" i="1"/>
  <c r="K59" i="1" s="1"/>
  <c r="G7" i="1"/>
  <c r="G59" i="1" s="1"/>
  <c r="F7" i="1"/>
  <c r="F59" i="1" s="1"/>
  <c r="E7" i="1"/>
  <c r="E59" i="1" s="1"/>
  <c r="D7" i="1"/>
  <c r="D59" i="1" s="1"/>
  <c r="V6" i="1"/>
  <c r="V58" i="1" s="1"/>
  <c r="U6" i="1"/>
  <c r="U58" i="1" s="1"/>
  <c r="T6" i="1"/>
  <c r="T58" i="1" s="1"/>
  <c r="S6" i="1"/>
  <c r="S58" i="1" s="1"/>
  <c r="R6" i="1"/>
  <c r="R58" i="1" s="1"/>
  <c r="O6" i="1"/>
  <c r="O58" i="1" s="1"/>
  <c r="N6" i="1"/>
  <c r="N58" i="1" s="1"/>
  <c r="M6" i="1"/>
  <c r="M58" i="1" s="1"/>
  <c r="L6" i="1"/>
  <c r="L58" i="1" s="1"/>
  <c r="K6" i="1"/>
  <c r="K58" i="1" s="1"/>
  <c r="G6" i="1"/>
  <c r="G58" i="1" s="1"/>
  <c r="F6" i="1"/>
  <c r="F58" i="1" s="1"/>
  <c r="E6" i="1"/>
  <c r="E58" i="1" s="1"/>
  <c r="D6" i="1"/>
  <c r="D58" i="1" s="1"/>
  <c r="V5" i="1"/>
  <c r="V57" i="1" s="1"/>
  <c r="U5" i="1"/>
  <c r="U57" i="1" s="1"/>
  <c r="T5" i="1"/>
  <c r="T57" i="1" s="1"/>
  <c r="S5" i="1"/>
  <c r="S57" i="1" s="1"/>
  <c r="R5" i="1"/>
  <c r="R57" i="1" s="1"/>
  <c r="O5" i="1"/>
  <c r="O57" i="1" s="1"/>
  <c r="N5" i="1"/>
  <c r="N57" i="1" s="1"/>
  <c r="M5" i="1"/>
  <c r="M57" i="1" s="1"/>
  <c r="L5" i="1"/>
  <c r="L57" i="1" s="1"/>
  <c r="K5" i="1"/>
  <c r="K57" i="1" s="1"/>
  <c r="G5" i="1"/>
  <c r="G57" i="1" s="1"/>
  <c r="F5" i="1"/>
  <c r="F57" i="1" s="1"/>
  <c r="E5" i="1"/>
  <c r="E57" i="1" s="1"/>
  <c r="D5" i="1"/>
  <c r="D57" i="1" s="1"/>
  <c r="V4" i="1"/>
  <c r="V56" i="1" s="1"/>
  <c r="U4" i="1"/>
  <c r="U56" i="1" s="1"/>
  <c r="T4" i="1"/>
  <c r="T56" i="1" s="1"/>
  <c r="S4" i="1"/>
  <c r="S56" i="1" s="1"/>
  <c r="R4" i="1"/>
  <c r="R56" i="1" s="1"/>
  <c r="O4" i="1"/>
  <c r="O56" i="1" s="1"/>
  <c r="N4" i="1"/>
  <c r="N56" i="1" s="1"/>
  <c r="M4" i="1"/>
  <c r="M56" i="1" s="1"/>
  <c r="L4" i="1"/>
  <c r="L56" i="1" s="1"/>
  <c r="K4" i="1"/>
  <c r="K56" i="1" s="1"/>
  <c r="G4" i="1"/>
  <c r="G56" i="1" s="1"/>
  <c r="F4" i="1"/>
  <c r="F56" i="1" s="1"/>
  <c r="E4" i="1"/>
  <c r="E56" i="1" s="1"/>
  <c r="D4" i="1"/>
  <c r="D56" i="1" s="1"/>
  <c r="V3" i="1"/>
  <c r="V55" i="1" s="1"/>
  <c r="U3" i="1"/>
  <c r="U55" i="1" s="1"/>
  <c r="T3" i="1"/>
  <c r="T55" i="1" s="1"/>
  <c r="S3" i="1"/>
  <c r="S55" i="1" s="1"/>
  <c r="R3" i="1"/>
  <c r="R55" i="1" s="1"/>
  <c r="O3" i="1"/>
  <c r="O55" i="1" s="1"/>
  <c r="N3" i="1"/>
  <c r="N55" i="1" s="1"/>
  <c r="M3" i="1"/>
  <c r="M55" i="1" s="1"/>
  <c r="L3" i="1"/>
  <c r="L55" i="1" s="1"/>
  <c r="K3" i="1"/>
  <c r="K55" i="1" s="1"/>
  <c r="G3" i="1"/>
  <c r="G55" i="1" s="1"/>
  <c r="F3" i="1"/>
  <c r="F55" i="1" s="1"/>
  <c r="E3" i="1"/>
  <c r="E55" i="1" s="1"/>
  <c r="D3" i="1"/>
  <c r="D55" i="1" s="1"/>
  <c r="P99" i="1" l="1"/>
  <c r="X34" i="1"/>
  <c r="W86" i="1"/>
  <c r="X35" i="1"/>
  <c r="W87" i="1"/>
  <c r="Q99" i="1"/>
  <c r="X33" i="1"/>
  <c r="W85" i="1"/>
  <c r="H25" i="1"/>
  <c r="F77" i="1"/>
  <c r="H26" i="1"/>
  <c r="G78" i="1"/>
  <c r="H30" i="1"/>
  <c r="G82" i="1"/>
  <c r="H29" i="1"/>
  <c r="G81" i="1"/>
  <c r="H27" i="1"/>
  <c r="G79" i="1"/>
  <c r="H28" i="1"/>
  <c r="G80" i="1"/>
  <c r="W16" i="1"/>
  <c r="H19" i="1"/>
  <c r="W20" i="1"/>
  <c r="W26" i="1"/>
  <c r="W25" i="1"/>
  <c r="W30" i="1"/>
  <c r="W4" i="1"/>
  <c r="W6" i="1"/>
  <c r="H8" i="1"/>
  <c r="W8" i="1"/>
  <c r="H10" i="1"/>
  <c r="W10" i="1"/>
  <c r="H12" i="1"/>
  <c r="W12" i="1"/>
  <c r="H14" i="1"/>
  <c r="W14" i="1"/>
  <c r="H16" i="1"/>
  <c r="W17" i="1"/>
  <c r="H20" i="1"/>
  <c r="W21" i="1"/>
  <c r="W22" i="1"/>
  <c r="W23" i="1"/>
  <c r="W24" i="1"/>
  <c r="W29" i="1"/>
  <c r="H4" i="1"/>
  <c r="H6" i="1"/>
  <c r="H17" i="1"/>
  <c r="W18" i="1"/>
  <c r="H21" i="1"/>
  <c r="W28" i="1"/>
  <c r="W32" i="1"/>
  <c r="H3" i="1"/>
  <c r="W3" i="1"/>
  <c r="H5" i="1"/>
  <c r="W5" i="1"/>
  <c r="H7" i="1"/>
  <c r="W7" i="1"/>
  <c r="H9" i="1"/>
  <c r="W9" i="1"/>
  <c r="H11" i="1"/>
  <c r="W11" i="1"/>
  <c r="H13" i="1"/>
  <c r="W13" i="1"/>
  <c r="H15" i="1"/>
  <c r="W15" i="1"/>
  <c r="H18" i="1"/>
  <c r="W19" i="1"/>
  <c r="H22" i="1"/>
  <c r="H23" i="1"/>
  <c r="H24" i="1"/>
  <c r="W27" i="1"/>
  <c r="D2" i="1"/>
  <c r="D54" i="1" s="1"/>
  <c r="D99" i="1" s="1"/>
  <c r="E2" i="1"/>
  <c r="E54" i="1" s="1"/>
  <c r="E99" i="1" s="1"/>
  <c r="F2" i="1"/>
  <c r="F54" i="1" s="1"/>
  <c r="F99" i="1" s="1"/>
  <c r="G2" i="1"/>
  <c r="G54" i="1" s="1"/>
  <c r="V2" i="1"/>
  <c r="V54" i="1" s="1"/>
  <c r="V99" i="1" s="1"/>
  <c r="U2" i="1"/>
  <c r="U54" i="1" s="1"/>
  <c r="U99" i="1" s="1"/>
  <c r="T2" i="1"/>
  <c r="T54" i="1" s="1"/>
  <c r="T99" i="1" s="1"/>
  <c r="S2" i="1"/>
  <c r="S54" i="1" s="1"/>
  <c r="S99" i="1" s="1"/>
  <c r="R2" i="1"/>
  <c r="R54" i="1" s="1"/>
  <c r="R99" i="1" s="1"/>
  <c r="O2" i="1"/>
  <c r="O54" i="1" s="1"/>
  <c r="O99" i="1" s="1"/>
  <c r="N2" i="1"/>
  <c r="N54" i="1" s="1"/>
  <c r="N99" i="1" s="1"/>
  <c r="M2" i="1"/>
  <c r="M54" i="1" s="1"/>
  <c r="M99" i="1" s="1"/>
  <c r="L2" i="1"/>
  <c r="L54" i="1" s="1"/>
  <c r="L99" i="1" s="1"/>
  <c r="K2" i="1"/>
  <c r="K54" i="1" s="1"/>
  <c r="K99" i="1" s="1"/>
  <c r="X28" i="1" l="1"/>
  <c r="W80" i="1"/>
  <c r="X17" i="1"/>
  <c r="W69" i="1"/>
  <c r="X8" i="1"/>
  <c r="W60" i="1"/>
  <c r="X11" i="1"/>
  <c r="W63" i="1"/>
  <c r="X3" i="1"/>
  <c r="W55" i="1"/>
  <c r="X22" i="1"/>
  <c r="W74" i="1"/>
  <c r="X16" i="1"/>
  <c r="W68" i="1"/>
  <c r="X29" i="1"/>
  <c r="W81" i="1"/>
  <c r="X14" i="1"/>
  <c r="W66" i="1"/>
  <c r="X6" i="1"/>
  <c r="W58" i="1"/>
  <c r="X26" i="1"/>
  <c r="W78" i="1"/>
  <c r="X23" i="1"/>
  <c r="W75" i="1"/>
  <c r="X12" i="1"/>
  <c r="W64" i="1"/>
  <c r="X30" i="1"/>
  <c r="W82" i="1"/>
  <c r="X15" i="1"/>
  <c r="W67" i="1"/>
  <c r="X7" i="1"/>
  <c r="W59" i="1"/>
  <c r="X25" i="1"/>
  <c r="W77" i="1"/>
  <c r="X18" i="1"/>
  <c r="W70" i="1"/>
  <c r="X21" i="1"/>
  <c r="W73" i="1"/>
  <c r="X10" i="1"/>
  <c r="W62" i="1"/>
  <c r="G99" i="1"/>
  <c r="X27" i="1"/>
  <c r="W79" i="1"/>
  <c r="X19" i="1"/>
  <c r="W71" i="1"/>
  <c r="X13" i="1"/>
  <c r="W65" i="1"/>
  <c r="X9" i="1"/>
  <c r="W61" i="1"/>
  <c r="X5" i="1"/>
  <c r="W57" i="1"/>
  <c r="X32" i="1"/>
  <c r="W84" i="1"/>
  <c r="X24" i="1"/>
  <c r="W76" i="1"/>
  <c r="X4" i="1"/>
  <c r="W56" i="1"/>
  <c r="X20" i="1"/>
  <c r="W72" i="1"/>
  <c r="I15" i="1"/>
  <c r="H67" i="1"/>
  <c r="I3" i="1"/>
  <c r="H55" i="1"/>
  <c r="I17" i="1"/>
  <c r="H69" i="1"/>
  <c r="I20" i="1"/>
  <c r="H72" i="1"/>
  <c r="I14" i="1"/>
  <c r="H66" i="1"/>
  <c r="I10" i="1"/>
  <c r="H62" i="1"/>
  <c r="I28" i="1"/>
  <c r="H80" i="1"/>
  <c r="I29" i="1"/>
  <c r="H81" i="1"/>
  <c r="I26" i="1"/>
  <c r="H78" i="1"/>
  <c r="I22" i="1"/>
  <c r="H74" i="1"/>
  <c r="I24" i="1"/>
  <c r="H76" i="1"/>
  <c r="I13" i="1"/>
  <c r="H65" i="1"/>
  <c r="I9" i="1"/>
  <c r="H61" i="1"/>
  <c r="I5" i="1"/>
  <c r="H57" i="1"/>
  <c r="I6" i="1"/>
  <c r="H58" i="1"/>
  <c r="I19" i="1"/>
  <c r="H71" i="1"/>
  <c r="I11" i="1"/>
  <c r="H63" i="1"/>
  <c r="I7" i="1"/>
  <c r="H59" i="1"/>
  <c r="I18" i="1"/>
  <c r="H70" i="1"/>
  <c r="I23" i="1"/>
  <c r="H75" i="1"/>
  <c r="I21" i="1"/>
  <c r="H73" i="1"/>
  <c r="I4" i="1"/>
  <c r="H56" i="1"/>
  <c r="I16" i="1"/>
  <c r="H68" i="1"/>
  <c r="I12" i="1"/>
  <c r="H64" i="1"/>
  <c r="I8" i="1"/>
  <c r="H60" i="1"/>
  <c r="I27" i="1"/>
  <c r="H79" i="1"/>
  <c r="I30" i="1"/>
  <c r="H82" i="1"/>
  <c r="I25" i="1"/>
  <c r="H77" i="1"/>
  <c r="W2" i="1"/>
  <c r="H2" i="1"/>
  <c r="X2" i="1" l="1"/>
  <c r="W54" i="1"/>
  <c r="W99" i="1" s="1"/>
  <c r="I2" i="1"/>
  <c r="H54" i="1"/>
  <c r="H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Amila</author>
  </authors>
  <commentList>
    <comment ref="C3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</t>
        </r>
      </text>
    </comment>
    <comment ref="C4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
</t>
        </r>
      </text>
    </comment>
    <comment ref="C4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
</t>
        </r>
      </text>
    </comment>
    <comment ref="C4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
</t>
        </r>
      </text>
    </comment>
    <comment ref="C4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CULL</t>
        </r>
      </text>
    </comment>
    <comment ref="C4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 CULL</t>
        </r>
      </text>
    </comment>
    <comment ref="C9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</t>
        </r>
      </text>
    </comment>
    <comment ref="C9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
</t>
        </r>
      </text>
    </comment>
    <comment ref="C9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
</t>
        </r>
      </text>
    </comment>
    <comment ref="C9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
</t>
        </r>
      </text>
    </comment>
    <comment ref="C9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CULL</t>
        </r>
      </text>
    </comment>
    <comment ref="C9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Amila:</t>
        </r>
        <r>
          <rPr>
            <sz val="9"/>
            <color indexed="81"/>
            <rFont val="Tahoma"/>
            <family val="2"/>
          </rPr>
          <t xml:space="preserve">
N/P CULL</t>
        </r>
      </text>
    </comment>
  </commentList>
</comments>
</file>

<file path=xl/sharedStrings.xml><?xml version="1.0" encoding="utf-8"?>
<sst xmlns="http://schemas.openxmlformats.org/spreadsheetml/2006/main" count="4859" uniqueCount="533">
  <si>
    <t>S/ NO.</t>
  </si>
  <si>
    <t>Tag No.</t>
  </si>
  <si>
    <t>Name</t>
  </si>
  <si>
    <t>07040012</t>
  </si>
  <si>
    <t>Dedunu</t>
  </si>
  <si>
    <t>1733</t>
  </si>
  <si>
    <t>Nimmi</t>
  </si>
  <si>
    <t>1444</t>
  </si>
  <si>
    <t>Dewika</t>
  </si>
  <si>
    <t>285</t>
  </si>
  <si>
    <t>Nadhi</t>
  </si>
  <si>
    <t>1456</t>
  </si>
  <si>
    <t>Thilini</t>
  </si>
  <si>
    <t>Darsha</t>
  </si>
  <si>
    <t>1439</t>
  </si>
  <si>
    <t>1324</t>
  </si>
  <si>
    <t>Meena</t>
  </si>
  <si>
    <t>07040004</t>
  </si>
  <si>
    <t>Swarna</t>
  </si>
  <si>
    <t>12003</t>
  </si>
  <si>
    <t>Mynemba</t>
  </si>
  <si>
    <t>1926</t>
  </si>
  <si>
    <t>Boli</t>
  </si>
  <si>
    <t>1909</t>
  </si>
  <si>
    <t>07040015</t>
  </si>
  <si>
    <t>Damayanthi</t>
  </si>
  <si>
    <t>Mitti</t>
  </si>
  <si>
    <t>07040022</t>
  </si>
  <si>
    <t>Pinki</t>
  </si>
  <si>
    <t>12064</t>
  </si>
  <si>
    <t>Rohini</t>
  </si>
  <si>
    <t>551</t>
  </si>
  <si>
    <t>Sigethi</t>
  </si>
  <si>
    <t>1432</t>
  </si>
  <si>
    <t>Champa</t>
  </si>
  <si>
    <t>07040014</t>
  </si>
  <si>
    <t>Madushai</t>
  </si>
  <si>
    <t>542</t>
  </si>
  <si>
    <t>Anjalika</t>
  </si>
  <si>
    <t>070421</t>
  </si>
  <si>
    <t>Primmada</t>
  </si>
  <si>
    <t>07040019</t>
  </si>
  <si>
    <t>Wawli</t>
  </si>
  <si>
    <t>1141</t>
  </si>
  <si>
    <t>Paba</t>
  </si>
  <si>
    <t>0704005</t>
  </si>
  <si>
    <t>Ukkumenika</t>
  </si>
  <si>
    <t>12039</t>
  </si>
  <si>
    <t>Rupa</t>
  </si>
  <si>
    <t>596</t>
  </si>
  <si>
    <t>Ankepe</t>
  </si>
  <si>
    <t>1458</t>
  </si>
  <si>
    <t>Babe</t>
  </si>
  <si>
    <t>07040011</t>
  </si>
  <si>
    <t>Hadei</t>
  </si>
  <si>
    <t>12022</t>
  </si>
  <si>
    <t>Yaka</t>
  </si>
  <si>
    <t>12063</t>
  </si>
  <si>
    <t>Bula</t>
  </si>
  <si>
    <t>14004</t>
  </si>
  <si>
    <t>Tintin</t>
  </si>
  <si>
    <t>07040007</t>
  </si>
  <si>
    <t>Maheshi</t>
  </si>
  <si>
    <t>12044</t>
  </si>
  <si>
    <t>Dilki</t>
  </si>
  <si>
    <t>1663</t>
  </si>
  <si>
    <t>Pahandi</t>
  </si>
  <si>
    <t>07040001</t>
  </si>
  <si>
    <t>Sindumi</t>
  </si>
  <si>
    <t>07040008</t>
  </si>
  <si>
    <t>Dimo</t>
  </si>
  <si>
    <t>07040032</t>
  </si>
  <si>
    <t>Samanalee</t>
  </si>
  <si>
    <t>07040033</t>
  </si>
  <si>
    <t>Sadamali</t>
  </si>
  <si>
    <t>12019</t>
  </si>
  <si>
    <t>Harshani</t>
  </si>
  <si>
    <t>12001</t>
  </si>
  <si>
    <t>Danushka</t>
  </si>
  <si>
    <t>572</t>
  </si>
  <si>
    <t>Meri</t>
  </si>
  <si>
    <t>183</t>
  </si>
  <si>
    <t>Thatti</t>
  </si>
  <si>
    <t>12062</t>
  </si>
  <si>
    <t>Tharushi</t>
  </si>
  <si>
    <t>560</t>
  </si>
  <si>
    <t>Nilusha</t>
  </si>
  <si>
    <t>07040016</t>
  </si>
  <si>
    <t>07040024</t>
  </si>
  <si>
    <t>Nipuni</t>
  </si>
  <si>
    <t>Lakmali</t>
  </si>
  <si>
    <t>1434</t>
  </si>
  <si>
    <t>Manju</t>
  </si>
  <si>
    <t>Milk Yield 19-20</t>
  </si>
  <si>
    <t>Avareg</t>
  </si>
  <si>
    <t>Total Milk Yield 20-21</t>
  </si>
  <si>
    <t>Avg. L/Month</t>
  </si>
  <si>
    <t>Caving Date</t>
  </si>
  <si>
    <t>To be Dry</t>
  </si>
  <si>
    <t>PD Date</t>
  </si>
  <si>
    <t xml:space="preserve">Date of Birth </t>
  </si>
  <si>
    <t>Lactation No</t>
  </si>
  <si>
    <t>Lactation Length</t>
  </si>
  <si>
    <t>Caving Interval</t>
  </si>
  <si>
    <t>Breed</t>
  </si>
  <si>
    <t>Murrha</t>
  </si>
  <si>
    <t>P/NP</t>
  </si>
  <si>
    <t>Baby</t>
  </si>
  <si>
    <t>NX</t>
  </si>
  <si>
    <t>MX</t>
  </si>
  <si>
    <t>NXM</t>
  </si>
  <si>
    <t>Cull</t>
  </si>
  <si>
    <t>07040005</t>
  </si>
  <si>
    <t>Niliravi</t>
  </si>
  <si>
    <t>07040021</t>
  </si>
  <si>
    <t>Priyanwada</t>
  </si>
  <si>
    <t>Milk Yeild (L)</t>
  </si>
  <si>
    <t>Av. M.Y</t>
  </si>
  <si>
    <t>Dry</t>
  </si>
  <si>
    <t>caving</t>
  </si>
  <si>
    <t>350 Kg</t>
  </si>
  <si>
    <t>Min</t>
  </si>
  <si>
    <t>1st Caving</t>
  </si>
  <si>
    <t>4Y</t>
  </si>
  <si>
    <t>450 Kg</t>
  </si>
  <si>
    <t>Bull service</t>
  </si>
  <si>
    <t>3Y</t>
  </si>
  <si>
    <t>Max</t>
  </si>
  <si>
    <t>Lactation Le.</t>
  </si>
  <si>
    <t>Caving In.</t>
  </si>
  <si>
    <t>400 D</t>
  </si>
  <si>
    <t>320 D</t>
  </si>
  <si>
    <t>1979</t>
  </si>
  <si>
    <t>1986</t>
  </si>
  <si>
    <t>1913</t>
  </si>
  <si>
    <t>1918</t>
  </si>
  <si>
    <t>1907</t>
  </si>
  <si>
    <t>1930</t>
  </si>
  <si>
    <t>1103</t>
  </si>
  <si>
    <t>1105</t>
  </si>
  <si>
    <t>551-1141</t>
  </si>
  <si>
    <t>Herd Composition</t>
  </si>
  <si>
    <t>Cows</t>
  </si>
  <si>
    <t>Milking</t>
  </si>
  <si>
    <t>Norm %</t>
  </si>
  <si>
    <t>Norm Nos</t>
  </si>
  <si>
    <t>Present Nos</t>
  </si>
  <si>
    <t>Bull</t>
  </si>
  <si>
    <t>Heifers</t>
  </si>
  <si>
    <t>3 Years &gt;</t>
  </si>
  <si>
    <t>2 - 3 Years</t>
  </si>
  <si>
    <t>1 - 2 Years</t>
  </si>
  <si>
    <t>1 Years &lt;</t>
  </si>
  <si>
    <t>Bull Calf</t>
  </si>
  <si>
    <t>Total</t>
  </si>
  <si>
    <t>10 = Cull %</t>
  </si>
  <si>
    <t>50 % in Caving</t>
  </si>
  <si>
    <t>P</t>
  </si>
  <si>
    <t>Last Caving Date</t>
  </si>
  <si>
    <t>E. Age (Month)</t>
  </si>
  <si>
    <t>NP</t>
  </si>
  <si>
    <t>Cheena</t>
  </si>
  <si>
    <t>120001</t>
  </si>
  <si>
    <t>120003</t>
  </si>
  <si>
    <t>120005</t>
  </si>
  <si>
    <t>BC</t>
  </si>
  <si>
    <t>HC</t>
  </si>
  <si>
    <t>MN</t>
  </si>
  <si>
    <t>SB</t>
  </si>
  <si>
    <t>Kalu (15-01-2019)</t>
  </si>
  <si>
    <t>Milk Yield 20 - 21</t>
  </si>
  <si>
    <t>Total Milk Yield 21 - 22</t>
  </si>
  <si>
    <t>Milk Yield 20 -21</t>
  </si>
  <si>
    <t>Day</t>
  </si>
  <si>
    <t>61750712003</t>
  </si>
  <si>
    <t>61750712002</t>
  </si>
  <si>
    <t>617507120001</t>
  </si>
  <si>
    <t>Day Producton (L)</t>
  </si>
  <si>
    <t>Madushani</t>
  </si>
  <si>
    <t>120004</t>
  </si>
  <si>
    <t>14012</t>
  </si>
  <si>
    <t>30/02/2022</t>
  </si>
  <si>
    <t>14/01/2022</t>
  </si>
  <si>
    <t>Sandaya</t>
  </si>
  <si>
    <t>M</t>
  </si>
  <si>
    <t>0779</t>
  </si>
  <si>
    <t>Location</t>
  </si>
  <si>
    <t>H</t>
  </si>
  <si>
    <t xml:space="preserve">F1815 </t>
  </si>
  <si>
    <t xml:space="preserve">F1816 </t>
  </si>
  <si>
    <t>Akka</t>
  </si>
  <si>
    <t>F1814</t>
  </si>
  <si>
    <t>Sneha</t>
  </si>
  <si>
    <t>171212</t>
  </si>
  <si>
    <t>Rashmi</t>
  </si>
  <si>
    <t>Swwandi</t>
  </si>
  <si>
    <t>J1736</t>
  </si>
  <si>
    <t>Ramba</t>
  </si>
  <si>
    <t>Milking/Dry</t>
  </si>
  <si>
    <t>J1813</t>
  </si>
  <si>
    <t>Mutash</t>
  </si>
  <si>
    <t>Sanduni</t>
  </si>
  <si>
    <t>J1713</t>
  </si>
  <si>
    <t>Double</t>
  </si>
  <si>
    <t>J1805</t>
  </si>
  <si>
    <t>Sigithi</t>
  </si>
  <si>
    <t>0158</t>
  </si>
  <si>
    <t>Sadumini</t>
  </si>
  <si>
    <t>J1774</t>
  </si>
  <si>
    <t>0380</t>
  </si>
  <si>
    <t>Praveena</t>
  </si>
  <si>
    <t>14003</t>
  </si>
  <si>
    <t>CIC 1</t>
  </si>
  <si>
    <t>CIC 2</t>
  </si>
  <si>
    <t>20003</t>
  </si>
  <si>
    <t>DS</t>
  </si>
  <si>
    <t>Dummalasooriya</t>
  </si>
  <si>
    <t>1883</t>
  </si>
  <si>
    <t>J1723</t>
  </si>
  <si>
    <t>Doni</t>
  </si>
  <si>
    <t>1810</t>
  </si>
  <si>
    <t>Hadee</t>
  </si>
  <si>
    <t>D</t>
  </si>
  <si>
    <t>Mini</t>
  </si>
  <si>
    <t>0280</t>
  </si>
  <si>
    <t>Muthu</t>
  </si>
  <si>
    <t>Niki</t>
  </si>
  <si>
    <t>20002</t>
  </si>
  <si>
    <t>Ishani</t>
  </si>
  <si>
    <t>0383</t>
  </si>
  <si>
    <t>Wasana</t>
  </si>
  <si>
    <t>20001</t>
  </si>
  <si>
    <t>Anketa</t>
  </si>
  <si>
    <t>0048</t>
  </si>
  <si>
    <t>Senuri</t>
  </si>
  <si>
    <t>0405</t>
  </si>
  <si>
    <t>Chootymanike</t>
  </si>
  <si>
    <t>Nilu</t>
  </si>
  <si>
    <t>Sujatha</t>
  </si>
  <si>
    <t>40012</t>
  </si>
  <si>
    <t>40019</t>
  </si>
  <si>
    <t>Wuli</t>
  </si>
  <si>
    <t>40022</t>
  </si>
  <si>
    <t>Pinky</t>
  </si>
  <si>
    <t>20005</t>
  </si>
  <si>
    <t>Walli</t>
  </si>
  <si>
    <t>40033</t>
  </si>
  <si>
    <t>Sandamali</t>
  </si>
  <si>
    <t>J1712</t>
  </si>
  <si>
    <t>Lokki</t>
  </si>
  <si>
    <t>Kaanthika</t>
  </si>
  <si>
    <t>40008</t>
  </si>
  <si>
    <t>20004</t>
  </si>
  <si>
    <t>Dummalasooriya 4</t>
  </si>
  <si>
    <t>0186/116</t>
  </si>
  <si>
    <t>Kota</t>
  </si>
  <si>
    <t>24</t>
  </si>
  <si>
    <t>Rani</t>
  </si>
  <si>
    <t>0394</t>
  </si>
  <si>
    <t>208</t>
  </si>
  <si>
    <t>60018</t>
  </si>
  <si>
    <t>Susanthika</t>
  </si>
  <si>
    <t>31</t>
  </si>
  <si>
    <t>1807</t>
  </si>
  <si>
    <t>Pullachchi</t>
  </si>
  <si>
    <t>23</t>
  </si>
  <si>
    <t>NP Cull</t>
  </si>
  <si>
    <t>0357</t>
  </si>
  <si>
    <t>Shila</t>
  </si>
  <si>
    <t>0366</t>
  </si>
  <si>
    <t>N005</t>
  </si>
  <si>
    <t xml:space="preserve">M </t>
  </si>
  <si>
    <t>780</t>
  </si>
  <si>
    <t>94</t>
  </si>
  <si>
    <t>K</t>
  </si>
  <si>
    <t>Nila</t>
  </si>
  <si>
    <t>RC</t>
  </si>
  <si>
    <t>MXN</t>
  </si>
  <si>
    <t>KD</t>
  </si>
  <si>
    <t>600002</t>
  </si>
  <si>
    <t>600003</t>
  </si>
  <si>
    <t>600004</t>
  </si>
  <si>
    <t>600005</t>
  </si>
  <si>
    <t>Sheromi</t>
  </si>
  <si>
    <t>Lena</t>
  </si>
  <si>
    <t>p</t>
  </si>
  <si>
    <t>Nona</t>
  </si>
  <si>
    <t>Banda</t>
  </si>
  <si>
    <t>Roci</t>
  </si>
  <si>
    <t>Netta Kota</t>
  </si>
  <si>
    <t>Chapa</t>
  </si>
  <si>
    <t>Anusa</t>
  </si>
  <si>
    <t>Podi Malli</t>
  </si>
  <si>
    <t>Panchali</t>
  </si>
  <si>
    <t>Sawandi</t>
  </si>
  <si>
    <t>Previous AI Dates</t>
  </si>
  <si>
    <t>Previous AI Outcomes</t>
  </si>
  <si>
    <t>Last Estrus/Heat Date</t>
  </si>
  <si>
    <t>Estrus Signs</t>
  </si>
  <si>
    <t>Estrus Cycle Length</t>
  </si>
  <si>
    <t>Hormonal Treatment</t>
  </si>
  <si>
    <t>NP,P</t>
  </si>
  <si>
    <t>No</t>
  </si>
  <si>
    <t>2025-01-10, 2025-03-15</t>
  </si>
  <si>
    <t>2024-05-10, 2024-06-05</t>
  </si>
  <si>
    <t>P,P</t>
  </si>
  <si>
    <t>Standing Heat</t>
  </si>
  <si>
    <t>Yes</t>
  </si>
  <si>
    <t>2025-02-10, 2025-04-05, 2025-06-01</t>
  </si>
  <si>
    <t>2024-03-10, 2024-05-12, 2024-07-15</t>
  </si>
  <si>
    <t>2024-08-05, 2024-10-01</t>
  </si>
  <si>
    <t>2025-03-05, 2025-05-10, 2025-07-01</t>
  </si>
  <si>
    <t>NP, P, NP</t>
  </si>
  <si>
    <t>P, P, P</t>
  </si>
  <si>
    <t>P, NP</t>
  </si>
  <si>
    <t>NP, NP, P</t>
  </si>
  <si>
    <t>Mounting</t>
  </si>
  <si>
    <t>2023-04-15, 2023-07-10, 2023-10-05</t>
  </si>
  <si>
    <t>2023-05-02, 2023-08-01, 2023-11-03</t>
  </si>
  <si>
    <t>2023-06-14, 2023-09-09, 2023-12-03</t>
  </si>
  <si>
    <t>2023-01-12, 2023-04-05, 2023-07-01</t>
  </si>
  <si>
    <t>2024-01-08, 2024-04-03, 2024-07-29</t>
  </si>
  <si>
    <t>2023-03-10, 2023-06-08</t>
  </si>
  <si>
    <t>NP,NP</t>
  </si>
  <si>
    <t>NP, NP, NP</t>
  </si>
  <si>
    <t>NP, NP</t>
  </si>
  <si>
    <t>2023-03-18, 2023-06-12</t>
  </si>
  <si>
    <t>NP, P</t>
  </si>
  <si>
    <t>2024-06-10, 2024-09-05</t>
  </si>
  <si>
    <t>2023-09-20, 2023-12-18</t>
  </si>
  <si>
    <t>Standing heat</t>
  </si>
  <si>
    <t>2024-02-15, 2024-05-20</t>
  </si>
  <si>
    <t>2023-02-11, 2023-05-09, 2023-08-04</t>
  </si>
  <si>
    <t>2023-03-15, 2023-06-18, 2023-09-12</t>
  </si>
  <si>
    <t>Weak estrus</t>
  </si>
  <si>
    <t>Irregular</t>
  </si>
  <si>
    <t>2023-02-18, 2023-05-20</t>
  </si>
  <si>
    <t>2023-08-14, 2023-11-10, 2024-02-05</t>
  </si>
  <si>
    <t>2022-11-05, 2023-01-28</t>
  </si>
  <si>
    <t>2024-03-05, 2024-06-01</t>
  </si>
  <si>
    <t>2024-02-20, 2024-05-18</t>
  </si>
  <si>
    <t>2024-02-28, 2024-05-25</t>
  </si>
  <si>
    <t>Silent heat</t>
  </si>
  <si>
    <t>2024-04-18, 2024-08-22</t>
  </si>
  <si>
    <t>2024-05-05, 2024-08-02</t>
  </si>
  <si>
    <t>2024-06-12, 2024-09-09</t>
  </si>
  <si>
    <t>2024-06-08, 2024-09-05</t>
  </si>
  <si>
    <t>2024-05-09, 2024-08-06</t>
  </si>
  <si>
    <t>2024-07-30, 2024-10-27</t>
  </si>
  <si>
    <t>2024-08-03, 2024-10-30</t>
  </si>
  <si>
    <t>2024-09-15, 2025-02-17</t>
  </si>
  <si>
    <t>2024-04-14, 2024-07-12</t>
  </si>
  <si>
    <t>2024-06-18, 2024-09-15</t>
  </si>
  <si>
    <t>2023-03-12, 2023-06-08</t>
  </si>
  <si>
    <t>2023-08-18, 2023-11-14</t>
  </si>
  <si>
    <t>2024-04-15, 2024-07-12</t>
  </si>
  <si>
    <t>2024-08-05, 2024-11-02</t>
  </si>
  <si>
    <t>2024-05-03, 2024-07-30</t>
  </si>
  <si>
    <t>2024-04-12, 2024-07-09</t>
  </si>
  <si>
    <t>2024-05-05, 2024-08-01</t>
  </si>
  <si>
    <t>2024-05-18, 2024-08-14</t>
  </si>
  <si>
    <t>2023-10-30, 2024-01-25</t>
  </si>
  <si>
    <t>2025-01-18, 2025-02-08</t>
  </si>
  <si>
    <t>2024-12-18, 2025-01-09</t>
  </si>
  <si>
    <t>2024-09-30, 2024-10-22, 2024-11-15</t>
  </si>
  <si>
    <t>2024-12-20, 2025-01-10</t>
  </si>
  <si>
    <t>2023-03-28, 2023-04-28</t>
  </si>
  <si>
    <t>2025-01-05, 2025-01-26, 2025-02-16</t>
  </si>
  <si>
    <t>2024-12-18, 2025-01-08</t>
  </si>
  <si>
    <t>2024-12-16, 2025-01-06, 2025-01-27</t>
  </si>
  <si>
    <t>2024-03-05, 2024-03-26, 2024-04-16</t>
  </si>
  <si>
    <t>2024-11-28, 2024-12-28, 2025-01-18</t>
  </si>
  <si>
    <t>2024-12-10, 2024-12-31</t>
  </si>
  <si>
    <t>2024-12-05, 2024-12-26</t>
  </si>
  <si>
    <t>2024-07-10, 2024-08-01, 2024-08-22</t>
  </si>
  <si>
    <t>2024-11-10, 2024-12-01</t>
  </si>
  <si>
    <t>2025-01-01, 2025-01-22, 2025-02-12</t>
  </si>
  <si>
    <t>2024-07-28, 2024-08-18, 2024-09-08</t>
  </si>
  <si>
    <t>2024-11-08, 2024-11-29</t>
  </si>
  <si>
    <t>2025-04-05, 2025-04-26</t>
  </si>
  <si>
    <t>2025-03-20, 2025-04-11, 2025-05-02</t>
  </si>
  <si>
    <t>2025-07-02, 2025-07-23</t>
  </si>
  <si>
    <t>2024-12-28, 2025-01-18, 2025-02-08</t>
  </si>
  <si>
    <t>2025-01-20, 2025-02-10</t>
  </si>
  <si>
    <t>2025-02-20, 2025-03-13</t>
  </si>
  <si>
    <t>2025-01-22, 2025-02-12</t>
  </si>
  <si>
    <t>2024-08-05, 2024-09-02, 2024-10-01</t>
  </si>
  <si>
    <t>2025-01-12, 2025-02-02, 2025-02-23</t>
  </si>
  <si>
    <t>2025-01-15, 2025-02-05</t>
  </si>
  <si>
    <t>2023-12-20, 2024-01-10, 2024-01-31</t>
  </si>
  <si>
    <t>Nounting</t>
  </si>
  <si>
    <t>2024-11-20, 2024-12-11</t>
  </si>
  <si>
    <t>2024-12-05, 2024-12-26, 2025-01-16</t>
  </si>
  <si>
    <t>2025-01-10, 2025-01-31</t>
  </si>
  <si>
    <t>2025-01-12, 2025-02-02</t>
  </si>
  <si>
    <t>2023-12-28, 2024-01-18, 2024-02-08</t>
  </si>
  <si>
    <t>2025-01-19, 2025-02-09</t>
  </si>
  <si>
    <t>2025-01-21, 2025-02-11</t>
  </si>
  <si>
    <t>2025-01-25, 2025-02-15</t>
  </si>
  <si>
    <t>2025-01-14, 2025-02-04</t>
  </si>
  <si>
    <t>2024-12-15, 2025-01-05</t>
  </si>
  <si>
    <t>2025-02-05, 2025-02-26</t>
  </si>
  <si>
    <t>2025-02-10, 2025-03-03</t>
  </si>
  <si>
    <t>2025-03-15, 2025-04-05</t>
  </si>
  <si>
    <t>2024-04-05, 2024-04-26, 2024-05-17</t>
  </si>
  <si>
    <t>2024-03-20, 2024-04-10</t>
  </si>
  <si>
    <t>2024-03-25, 2024-04-18, 2024-05-10</t>
  </si>
  <si>
    <t>2024-02-01, 2024-02-22, 2024-03-15</t>
  </si>
  <si>
    <t>2023-08-15, 2023-09-05</t>
  </si>
  <si>
    <t>2023-03-28, 2023-04-18</t>
  </si>
  <si>
    <t>2024-04-10, 2024-05-01</t>
  </si>
  <si>
    <t>2024-04-15, 2024-05-06</t>
  </si>
  <si>
    <t>2024-06-10, 2024-07-01</t>
  </si>
  <si>
    <t>2024-04-20, 2024-05-11</t>
  </si>
  <si>
    <t>2024-03-25, 2024-04-15</t>
  </si>
  <si>
    <t>2024-03-28, 2024-04-18</t>
  </si>
  <si>
    <t>2024-03-30, 2024-04-20</t>
  </si>
  <si>
    <t>21</t>
  </si>
  <si>
    <t>2024-03-15, 2024-04-05, 2024-04-26</t>
  </si>
  <si>
    <t>2024-03-20, 2024-04-10, 2024-05-01</t>
  </si>
  <si>
    <t>2024-01-10, 2024-01-31</t>
  </si>
  <si>
    <t>2024-03-01, 2024-03-22</t>
  </si>
  <si>
    <t>2024-02-25, 2024-03-17</t>
  </si>
  <si>
    <t>2024-02-01, 2024-02-22</t>
  </si>
  <si>
    <t>2024-01-05, 2024-01-26, 2024-02-16</t>
  </si>
  <si>
    <t>2024-02-20, 2024-03-12</t>
  </si>
  <si>
    <t>2024-01-18, 2024-02-08</t>
  </si>
  <si>
    <t>2024-02-10, 2024-03-02</t>
  </si>
  <si>
    <t>2024-02-15, 2024-03-07</t>
  </si>
  <si>
    <t>2024-02-22, 2024-03-14</t>
  </si>
  <si>
    <t>2024-02-23, 2024-03-15</t>
  </si>
  <si>
    <t>26</t>
  </si>
  <si>
    <t>25</t>
  </si>
  <si>
    <t>2024-01-01, 2024-02-01, 2024-03-01</t>
  </si>
  <si>
    <t>2023-10-08, 2023-11-08, 2023-12-08</t>
  </si>
  <si>
    <t>2023-10-31, 2023-11-30, 2023-12-31</t>
  </si>
  <si>
    <t>2023-08-23, 2023-09-13, 2023-10-23</t>
  </si>
  <si>
    <t>2022-06-07, 2022-07-28</t>
  </si>
  <si>
    <t>2022-06-09, 2022-07-30</t>
  </si>
  <si>
    <t>2022-06-12, 2022-08-03</t>
  </si>
  <si>
    <t>2023-10-01, 2023-11-01, 2023-12-01</t>
  </si>
  <si>
    <t>2024-03-01, 2024-04-01, 2024-05-01</t>
  </si>
  <si>
    <t>2023-11-06, 2023-12-06, 2024-01-06</t>
  </si>
  <si>
    <t>2023-12-01, 2024-01-01, 2024-02-01</t>
  </si>
  <si>
    <t>2023-11-27, 2023-12-27, 2024-01-27</t>
  </si>
  <si>
    <t>2023-12-10, 2024-01-10, 2024-02-10</t>
  </si>
  <si>
    <t>2023-12-13, 2024-01-13, 2024-02-13</t>
  </si>
  <si>
    <t>2024-01-06, 2024-02-06, 2024-03-06</t>
  </si>
  <si>
    <t>2022-10-06, 2022-11-06, 2022-12-06</t>
  </si>
  <si>
    <t>2024-12-02, 2024-01-02, 2024-02-02</t>
  </si>
  <si>
    <t>2023-11-28, 2023-12-28, 2024-01-28</t>
  </si>
  <si>
    <t>2022-10-20, 2022-11-20, 2022-12-20</t>
  </si>
  <si>
    <t>2023-09-02, 2023-10-02, 2023-11-02</t>
  </si>
  <si>
    <t>Weak ustrus</t>
  </si>
  <si>
    <t>2023-11-11, 2023-12-02, 2024-01-12</t>
  </si>
  <si>
    <t>2023-09-05, 2023-10-06, 2023-11-15</t>
  </si>
  <si>
    <t>2022-12-27, 2023-01-13, 2023-01-27</t>
  </si>
  <si>
    <t>2022-12-13, 2023-01-01, 2023-02-13</t>
  </si>
  <si>
    <t>2022-12-23, 2023-01-10, 2023-02-23</t>
  </si>
  <si>
    <t>2023-01-05, 2023-01-15, 2023-02-26</t>
  </si>
  <si>
    <t>2023-01-06, 2023-01-16, 2023-02-27</t>
  </si>
  <si>
    <t>2023-01-05, 2023-02-01, 2023-03-05</t>
  </si>
  <si>
    <t>2023-01-08, 2023-02-05, 2023-03-08</t>
  </si>
  <si>
    <t>2023-01-15, 2023-02-10, 2023-03-15</t>
  </si>
  <si>
    <t>2023-01-16, 2023-02-05, 2023-03-16</t>
  </si>
  <si>
    <t>2023-01-18, 2023-02-05, 2023-03-18</t>
  </si>
  <si>
    <t>2023-01-18, 2023-02-05, 2023-03-24</t>
  </si>
  <si>
    <t>2023-01-20, 2023-02-10, 2023-03-27</t>
  </si>
  <si>
    <t>2023-01-20, 2023-02-10, 2023-03-28</t>
  </si>
  <si>
    <t>2023-02-07, 2023-03-01, 2023-04-07</t>
  </si>
  <si>
    <t>2023-02-18, 2023-03-05, 2023-04-18</t>
  </si>
  <si>
    <t>2023-02-12, 2023-03-01, 2023-04-18</t>
  </si>
  <si>
    <t>weak ustrus</t>
  </si>
  <si>
    <t>18</t>
  </si>
  <si>
    <t>2023-03-10, 2023-04-15, 2023-05-06</t>
  </si>
  <si>
    <t>2023-03-20, 2023-04-15, 2023-05-20</t>
  </si>
  <si>
    <t>2023-03-23, 2023-04-18, 2023-05-23</t>
  </si>
  <si>
    <t>2023-03-24, 2023-04-10, 2023-05-24</t>
  </si>
  <si>
    <t>2023-03-29, 2023-04-15, 2023-05-29</t>
  </si>
  <si>
    <t>2023-03-30, 2023-04-20, 2023-05-30</t>
  </si>
  <si>
    <t>2023-09-26, 2023-10-15, 2023-12-01</t>
  </si>
  <si>
    <t>yes</t>
  </si>
  <si>
    <t>2020-08-10, 2020-09-15, 2020-11-06</t>
  </si>
  <si>
    <t>2020-11-01, 2020-12-01, 2021-01-17</t>
  </si>
  <si>
    <t>2020-11-10, 2020-12-05, 2021-02-10</t>
  </si>
  <si>
    <t>2021-05-04, 2021-06-04, 2021-07-08</t>
  </si>
  <si>
    <t>2022-10-13, 2022-11-13, 2021-12-17</t>
  </si>
  <si>
    <t>2022-09-01, 2022-10-01, 2021-12-24</t>
  </si>
  <si>
    <t>2022-10-11, 2022-11-11, 2022-02-14</t>
  </si>
  <si>
    <t>2022-01-15, 2022-02-15, 2022-05-15</t>
  </si>
  <si>
    <t>2023-02-10, 2023-03-05, 2022-06-10</t>
  </si>
  <si>
    <t>2022-05-28, 2022-06-28, 2022-07-28</t>
  </si>
  <si>
    <t>2022-05-09, 2022-06-09, 2022-07-30</t>
  </si>
  <si>
    <t>2022-06-03, 2022-07-03, 2022-08-03</t>
  </si>
  <si>
    <t>2022-06-06, 2022-07-06, 2022-08-06</t>
  </si>
  <si>
    <t>2022-06-08, 2022-07-08, 2022-08-08</t>
  </si>
  <si>
    <t>2022-07-01, 2022-08-01, 2022-09-30</t>
  </si>
  <si>
    <t>2022-08-12, 2022-09-12, 2022-10-12</t>
  </si>
  <si>
    <t>2022-09-02, 2022-10-02, 2022-11-02</t>
  </si>
  <si>
    <t>2022-09-13, 2022-10-13, 2022-11-13</t>
  </si>
  <si>
    <t>2022-09-15, 2022-10-15, 2022-11-19</t>
  </si>
  <si>
    <t>2022-09-20, 2022-10-20, 2022-11-24</t>
  </si>
  <si>
    <t>2022-09-22, 2022-10-22, 2022-11-26</t>
  </si>
  <si>
    <t>2022-10-02, 2022-11-02</t>
  </si>
  <si>
    <t>2022-10-06, 2022-11-06, 2022-12-10</t>
  </si>
  <si>
    <t>2022-10-10, 2022-11-10, 2022-12-14</t>
  </si>
  <si>
    <t>2022-10-16, 2022-11-16, 2022-12-20</t>
  </si>
  <si>
    <t>2022-08-28, 2022-09-28, 2023-01-01</t>
  </si>
  <si>
    <t>2022-11-08, 2022-12-08, 2023-01-12</t>
  </si>
  <si>
    <t>2022-11-10, 2022-12-10</t>
  </si>
  <si>
    <t>2022-11-14, 2022-12-14, 2023-01-18</t>
  </si>
  <si>
    <t>2022-11-17, 2022-12-17</t>
  </si>
  <si>
    <t>2022-10-23, 2022-11-23, 2023-01-27</t>
  </si>
  <si>
    <t>2022-11-20, 2022-12-20</t>
  </si>
  <si>
    <t>2022-11-23, 2022-12-23</t>
  </si>
  <si>
    <t>2022-10-23, 2022-11-23, 2023-02-26</t>
  </si>
  <si>
    <t>2022-11-12, 2022-12-12, 2023-03-05</t>
  </si>
  <si>
    <t>2023-01-08, 2023-02-08, 2023-03-08</t>
  </si>
  <si>
    <t>2023-01-15, 2023-02-15, 2023-03-15</t>
  </si>
  <si>
    <t>2023-01-16, 2023-02-16, 2023-03-16</t>
  </si>
  <si>
    <t>2023-01-18, 2023-02-18, 2023-03-18</t>
  </si>
  <si>
    <t>2023-01-24, 2023-02-24, 2023-03-24</t>
  </si>
  <si>
    <t>2023-01-27, 2023-02-27, 2023-03-27</t>
  </si>
  <si>
    <t>2023-01-28, 2023-02-28, 2023-03-28</t>
  </si>
  <si>
    <t>2023-02-02, 2023-03-02, 2023-04-02</t>
  </si>
  <si>
    <t>2023-02-07, 2023-03-07, 2023-04-07</t>
  </si>
  <si>
    <t>2023-02-18, 2023-03-18, 2023-04-18</t>
  </si>
  <si>
    <t>2023-03-06, 2023-04-06, 2023-05-06</t>
  </si>
  <si>
    <t>2023-03-15, 2023-04-15, 2023-05-20</t>
  </si>
  <si>
    <t>2023-03-18, 2023-04-18, 2023-05-23</t>
  </si>
  <si>
    <t>2023-03-19, 2023-04-19, 2023-05-24</t>
  </si>
  <si>
    <t>2023-03-24, 2023-04-24, 2023-05-29</t>
  </si>
  <si>
    <t>2023-03-25, 2023-04-25, 2023-05-30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</si>
</sst>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_);_(@_)"/>
    <numFmt numFmtId="165" formatCode="_(* #,##0.0_);_(* \(#,##0.0\);_(* &quot;-&quot;??_);_(@_)"/>
    <numFmt numFmtId="166" formatCode="dd/mm/yyyy;@"/>
    <numFmt numFmtId="167" formatCode="_(* #,##0_);_(* \(#,##0\);_(* &quot;-&quot;??_);_(@_)"/>
    <numFmt numFmtId="168" formatCode="yyyy\-mm\-dd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4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/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medium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3F3F3F"/>
      </right>
      <top/>
      <bottom/>
      <diagonal/>
    </border>
    <border>
      <left/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medium">
        <color indexed="64"/>
      </bottom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 style="thin">
        <color rgb="FF3F3F3F"/>
      </top>
      <bottom style="medium">
        <color indexed="64"/>
      </bottom>
      <diagonal/>
    </border>
    <border>
      <left style="thin">
        <color rgb="FF3F3F3F"/>
      </left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/>
      <top style="thin">
        <color indexed="64"/>
      </top>
      <bottom style="medium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3" fillId="2" borderId="1" applyNumberFormat="0" applyAlignment="0" applyProtection="0"/>
    <xf numFmtId="43" fontId="7" fillId="0" borderId="0" applyFont="0" applyFill="0" applyBorder="0" applyAlignment="0" applyProtection="0"/>
    <xf numFmtId="0" fontId="16" fillId="10" borderId="0" applyNumberFormat="0" applyBorder="0" applyAlignment="0" applyProtection="0"/>
    <xf numFmtId="0" fontId="17" fillId="11" borderId="0" applyNumberFormat="0" applyBorder="0" applyAlignment="0" applyProtection="0"/>
    <xf numFmtId="0" fontId="7" fillId="12" borderId="0" applyNumberFormat="0" applyBorder="0" applyAlignment="0" applyProtection="0"/>
    <xf numFmtId="0" fontId="16" fillId="13" borderId="0" applyNumberFormat="0" applyBorder="0" applyAlignment="0" applyProtection="0"/>
  </cellStyleXfs>
  <cellXfs count="345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1" applyNumberFormat="1" applyFill="1" applyAlignment="1">
      <alignment horizontal="center"/>
    </xf>
    <xf numFmtId="0" fontId="3" fillId="0" borderId="1" xfId="1" applyFill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7" fontId="1" fillId="0" borderId="0" xfId="0" applyNumberFormat="1" applyFont="1" applyAlignment="1">
      <alignment horizontal="center" vertical="center"/>
    </xf>
    <xf numFmtId="0" fontId="3" fillId="0" borderId="2" xfId="1" applyNumberFormat="1" applyFill="1" applyBorder="1" applyAlignment="1">
      <alignment horizontal="center"/>
    </xf>
    <xf numFmtId="0" fontId="3" fillId="0" borderId="2" xfId="1" applyFill="1" applyBorder="1" applyAlignment="1">
      <alignment horizontal="left"/>
    </xf>
    <xf numFmtId="0" fontId="3" fillId="0" borderId="1" xfId="1" applyFill="1" applyAlignment="1">
      <alignment horizontal="center" vertical="center"/>
    </xf>
    <xf numFmtId="17" fontId="3" fillId="3" borderId="1" xfId="1" applyNumberForma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3" xfId="1" applyNumberFormat="1" applyFill="1" applyBorder="1" applyAlignment="1">
      <alignment horizontal="center"/>
    </xf>
    <xf numFmtId="0" fontId="3" fillId="0" borderId="3" xfId="1" applyFill="1" applyBorder="1" applyAlignment="1">
      <alignment horizontal="left"/>
    </xf>
    <xf numFmtId="17" fontId="3" fillId="0" borderId="0" xfId="1" applyNumberFormat="1" applyFill="1" applyBorder="1" applyAlignment="1">
      <alignment horizontal="center" vertical="center"/>
    </xf>
    <xf numFmtId="2" fontId="3" fillId="0" borderId="0" xfId="1" applyNumberFormat="1" applyFill="1" applyBorder="1"/>
    <xf numFmtId="17" fontId="3" fillId="3" borderId="4" xfId="1" applyNumberFormat="1" applyFill="1" applyBorder="1" applyAlignment="1">
      <alignment horizontal="center" vertical="center"/>
    </xf>
    <xf numFmtId="49" fontId="3" fillId="0" borderId="1" xfId="1" applyNumberFormat="1" applyFill="1" applyAlignment="1">
      <alignment horizontal="center"/>
    </xf>
    <xf numFmtId="49" fontId="3" fillId="0" borderId="1" xfId="1" applyNumberFormat="1" applyFill="1" applyAlignment="1">
      <alignment horizontal="center" vertical="top"/>
    </xf>
    <xf numFmtId="49" fontId="3" fillId="0" borderId="3" xfId="1" applyNumberFormat="1" applyFill="1" applyBorder="1" applyAlignment="1">
      <alignment horizontal="center"/>
    </xf>
    <xf numFmtId="49" fontId="3" fillId="0" borderId="2" xfId="1" applyNumberFormat="1" applyFill="1" applyBorder="1" applyAlignment="1">
      <alignment horizontal="center"/>
    </xf>
    <xf numFmtId="0" fontId="1" fillId="0" borderId="0" xfId="0" applyFont="1"/>
    <xf numFmtId="17" fontId="3" fillId="4" borderId="2" xfId="1" applyNumberFormat="1" applyFill="1" applyBorder="1" applyAlignment="1">
      <alignment horizontal="center" vertical="center"/>
    </xf>
    <xf numFmtId="17" fontId="3" fillId="4" borderId="9" xfId="1" applyNumberFormat="1" applyFill="1" applyBorder="1" applyAlignment="1">
      <alignment horizontal="center" vertical="center"/>
    </xf>
    <xf numFmtId="164" fontId="3" fillId="2" borderId="1" xfId="1" applyNumberFormat="1"/>
    <xf numFmtId="164" fontId="3" fillId="2" borderId="4" xfId="1" applyNumberFormat="1" applyBorder="1"/>
    <xf numFmtId="164" fontId="3" fillId="2" borderId="3" xfId="1" applyNumberFormat="1" applyBorder="1"/>
    <xf numFmtId="164" fontId="3" fillId="2" borderId="5" xfId="1" applyNumberFormat="1" applyBorder="1"/>
    <xf numFmtId="164" fontId="3" fillId="2" borderId="2" xfId="1" applyNumberFormat="1" applyBorder="1"/>
    <xf numFmtId="164" fontId="3" fillId="2" borderId="6" xfId="1" applyNumberFormat="1" applyBorder="1"/>
    <xf numFmtId="164" fontId="3" fillId="2" borderId="7" xfId="1" applyNumberFormat="1" applyBorder="1"/>
    <xf numFmtId="164" fontId="3" fillId="2" borderId="1" xfId="1" applyNumberFormat="1" applyAlignment="1">
      <alignment horizontal="center"/>
    </xf>
    <xf numFmtId="164" fontId="3" fillId="2" borderId="4" xfId="1" applyNumberFormat="1" applyBorder="1" applyAlignment="1">
      <alignment horizontal="center"/>
    </xf>
    <xf numFmtId="164" fontId="3" fillId="2" borderId="8" xfId="1" applyNumberFormat="1" applyBorder="1"/>
    <xf numFmtId="164" fontId="3" fillId="2" borderId="3" xfId="1" applyNumberFormat="1" applyBorder="1" applyAlignment="1">
      <alignment horizontal="center"/>
    </xf>
    <xf numFmtId="164" fontId="3" fillId="2" borderId="5" xfId="1" applyNumberFormat="1" applyBorder="1" applyAlignment="1">
      <alignment horizontal="center"/>
    </xf>
    <xf numFmtId="164" fontId="3" fillId="2" borderId="9" xfId="1" applyNumberFormat="1" applyBorder="1"/>
    <xf numFmtId="164" fontId="3" fillId="2" borderId="2" xfId="1" applyNumberFormat="1" applyBorder="1" applyAlignment="1">
      <alignment horizontal="center"/>
    </xf>
    <xf numFmtId="164" fontId="3" fillId="2" borderId="6" xfId="1" applyNumberFormat="1" applyBorder="1" applyAlignment="1">
      <alignment horizontal="center"/>
    </xf>
    <xf numFmtId="17" fontId="3" fillId="4" borderId="14" xfId="1" applyNumberFormat="1" applyFill="1" applyBorder="1" applyAlignment="1">
      <alignment horizontal="center" vertical="center"/>
    </xf>
    <xf numFmtId="165" fontId="3" fillId="2" borderId="1" xfId="1" applyNumberFormat="1"/>
    <xf numFmtId="165" fontId="6" fillId="5" borderId="6" xfId="1" applyNumberFormat="1" applyFont="1" applyFill="1" applyBorder="1"/>
    <xf numFmtId="164" fontId="6" fillId="5" borderId="4" xfId="1" applyNumberFormat="1" applyFont="1" applyFill="1" applyBorder="1"/>
    <xf numFmtId="164" fontId="6" fillId="5" borderId="5" xfId="1" applyNumberFormat="1" applyFont="1" applyFill="1" applyBorder="1"/>
    <xf numFmtId="164" fontId="6" fillId="5" borderId="6" xfId="1" applyNumberFormat="1" applyFont="1" applyFill="1" applyBorder="1"/>
    <xf numFmtId="164" fontId="6" fillId="5" borderId="6" xfId="1" applyNumberFormat="1" applyFont="1" applyFill="1" applyBorder="1" applyAlignment="1">
      <alignment horizontal="center"/>
    </xf>
    <xf numFmtId="164" fontId="6" fillId="5" borderId="4" xfId="1" applyNumberFormat="1" applyFont="1" applyFill="1" applyBorder="1" applyAlignment="1">
      <alignment horizontal="center"/>
    </xf>
    <xf numFmtId="164" fontId="6" fillId="5" borderId="5" xfId="1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0" xfId="0" applyBorder="1" applyAlignment="1">
      <alignment horizontal="left"/>
    </xf>
    <xf numFmtId="0" fontId="3" fillId="0" borderId="10" xfId="1" applyNumberFormat="1" applyFill="1" applyBorder="1" applyAlignment="1">
      <alignment horizontal="center"/>
    </xf>
    <xf numFmtId="49" fontId="3" fillId="0" borderId="10" xfId="1" applyNumberFormat="1" applyFill="1" applyBorder="1" applyAlignment="1">
      <alignment horizontal="center"/>
    </xf>
    <xf numFmtId="0" fontId="3" fillId="0" borderId="10" xfId="1" applyFill="1" applyBorder="1" applyAlignment="1">
      <alignment horizontal="left"/>
    </xf>
    <xf numFmtId="49" fontId="3" fillId="0" borderId="10" xfId="1" applyNumberFormat="1" applyFill="1" applyBorder="1" applyAlignment="1">
      <alignment horizontal="center" vertical="top"/>
    </xf>
    <xf numFmtId="166" fontId="0" fillId="0" borderId="10" xfId="0" applyNumberFormat="1" applyBorder="1"/>
    <xf numFmtId="166" fontId="3" fillId="0" borderId="10" xfId="1" applyNumberFormat="1" applyFill="1" applyBorder="1" applyAlignment="1">
      <alignment horizontal="left"/>
    </xf>
    <xf numFmtId="166" fontId="0" fillId="0" borderId="10" xfId="0" applyNumberFormat="1" applyBorder="1" applyAlignment="1">
      <alignment horizontal="left"/>
    </xf>
    <xf numFmtId="41" fontId="3" fillId="0" borderId="10" xfId="1" applyNumberFormat="1" applyFill="1" applyBorder="1" applyAlignment="1">
      <alignment horizontal="left"/>
    </xf>
    <xf numFmtId="41" fontId="0" fillId="0" borderId="10" xfId="0" applyNumberFormat="1" applyBorder="1" applyAlignment="1">
      <alignment horizontal="left"/>
    </xf>
    <xf numFmtId="14" fontId="3" fillId="0" borderId="10" xfId="1" applyNumberFormat="1" applyFill="1" applyBorder="1" applyAlignment="1">
      <alignment horizontal="left"/>
    </xf>
    <xf numFmtId="0" fontId="8" fillId="6" borderId="10" xfId="1" applyFont="1" applyFill="1" applyBorder="1" applyAlignment="1">
      <alignment horizontal="center" vertical="center"/>
    </xf>
    <xf numFmtId="166" fontId="0" fillId="0" borderId="0" xfId="0" applyNumberFormat="1"/>
    <xf numFmtId="164" fontId="3" fillId="0" borderId="10" xfId="1" applyNumberFormat="1" applyFill="1" applyBorder="1" applyAlignment="1">
      <alignment horizontal="left"/>
    </xf>
    <xf numFmtId="167" fontId="3" fillId="0" borderId="10" xfId="2" applyNumberFormat="1" applyFont="1" applyFill="1" applyBorder="1" applyAlignment="1">
      <alignment horizontal="left"/>
    </xf>
    <xf numFmtId="166" fontId="0" fillId="7" borderId="0" xfId="0" applyNumberFormat="1" applyFill="1"/>
    <xf numFmtId="0" fontId="8" fillId="6" borderId="15" xfId="1" applyFont="1" applyFill="1" applyBorder="1" applyAlignment="1">
      <alignment horizontal="center" vertical="center"/>
    </xf>
    <xf numFmtId="0" fontId="8" fillId="6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49" fontId="6" fillId="0" borderId="10" xfId="1" applyNumberFormat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/>
    </xf>
    <xf numFmtId="166" fontId="6" fillId="0" borderId="10" xfId="1" applyNumberFormat="1" applyFont="1" applyFill="1" applyBorder="1" applyAlignment="1">
      <alignment horizontal="left"/>
    </xf>
    <xf numFmtId="167" fontId="6" fillId="0" borderId="10" xfId="2" applyNumberFormat="1" applyFont="1" applyFill="1" applyBorder="1" applyAlignment="1">
      <alignment horizontal="left"/>
    </xf>
    <xf numFmtId="164" fontId="6" fillId="0" borderId="10" xfId="1" applyNumberFormat="1" applyFont="1" applyFill="1" applyBorder="1" applyAlignment="1">
      <alignment horizontal="left"/>
    </xf>
    <xf numFmtId="41" fontId="6" fillId="0" borderId="10" xfId="1" applyNumberFormat="1" applyFont="1" applyFill="1" applyBorder="1" applyAlignment="1">
      <alignment horizontal="left"/>
    </xf>
    <xf numFmtId="166" fontId="9" fillId="0" borderId="10" xfId="0" applyNumberFormat="1" applyFont="1" applyBorder="1"/>
    <xf numFmtId="166" fontId="9" fillId="0" borderId="0" xfId="0" applyNumberFormat="1" applyFont="1"/>
    <xf numFmtId="0" fontId="9" fillId="0" borderId="0" xfId="0" applyFont="1"/>
    <xf numFmtId="165" fontId="0" fillId="0" borderId="0" xfId="2" applyNumberFormat="1" applyFont="1" applyBorder="1"/>
    <xf numFmtId="165" fontId="9" fillId="0" borderId="0" xfId="2" applyNumberFormat="1" applyFont="1" applyBorder="1"/>
    <xf numFmtId="49" fontId="1" fillId="0" borderId="10" xfId="1" applyNumberFormat="1" applyFont="1" applyFill="1" applyBorder="1" applyAlignment="1">
      <alignment horizontal="center"/>
    </xf>
    <xf numFmtId="0" fontId="1" fillId="0" borderId="10" xfId="1" applyFont="1" applyFill="1" applyBorder="1" applyAlignment="1">
      <alignment horizontal="left"/>
    </xf>
    <xf numFmtId="166" fontId="1" fillId="0" borderId="10" xfId="1" applyNumberFormat="1" applyFont="1" applyFill="1" applyBorder="1" applyAlignment="1">
      <alignment horizontal="left"/>
    </xf>
    <xf numFmtId="167" fontId="1" fillId="0" borderId="10" xfId="2" applyNumberFormat="1" applyFont="1" applyFill="1" applyBorder="1" applyAlignment="1">
      <alignment horizontal="left"/>
    </xf>
    <xf numFmtId="164" fontId="1" fillId="0" borderId="10" xfId="1" applyNumberFormat="1" applyFont="1" applyFill="1" applyBorder="1" applyAlignment="1">
      <alignment horizontal="left"/>
    </xf>
    <xf numFmtId="41" fontId="1" fillId="0" borderId="10" xfId="1" applyNumberFormat="1" applyFont="1" applyFill="1" applyBorder="1" applyAlignment="1">
      <alignment horizontal="left"/>
    </xf>
    <xf numFmtId="166" fontId="7" fillId="0" borderId="10" xfId="0" applyNumberFormat="1" applyFont="1" applyBorder="1"/>
    <xf numFmtId="166" fontId="7" fillId="0" borderId="0" xfId="0" applyNumberFormat="1" applyFont="1"/>
    <xf numFmtId="165" fontId="7" fillId="0" borderId="0" xfId="2" applyNumberFormat="1" applyFont="1" applyBorder="1"/>
    <xf numFmtId="0" fontId="7" fillId="0" borderId="0" xfId="0" applyFont="1"/>
    <xf numFmtId="49" fontId="10" fillId="0" borderId="10" xfId="1" applyNumberFormat="1" applyFont="1" applyFill="1" applyBorder="1" applyAlignment="1">
      <alignment horizontal="center" vertical="top"/>
    </xf>
    <xf numFmtId="0" fontId="10" fillId="0" borderId="10" xfId="1" applyFont="1" applyFill="1" applyBorder="1" applyAlignment="1">
      <alignment horizontal="left"/>
    </xf>
    <xf numFmtId="166" fontId="10" fillId="0" borderId="10" xfId="1" applyNumberFormat="1" applyFont="1" applyFill="1" applyBorder="1" applyAlignment="1">
      <alignment horizontal="left"/>
    </xf>
    <xf numFmtId="167" fontId="10" fillId="0" borderId="10" xfId="2" applyNumberFormat="1" applyFont="1" applyFill="1" applyBorder="1" applyAlignment="1">
      <alignment horizontal="left"/>
    </xf>
    <xf numFmtId="164" fontId="10" fillId="0" borderId="10" xfId="1" applyNumberFormat="1" applyFont="1" applyFill="1" applyBorder="1" applyAlignment="1">
      <alignment horizontal="left"/>
    </xf>
    <xf numFmtId="41" fontId="10" fillId="0" borderId="10" xfId="1" applyNumberFormat="1" applyFont="1" applyFill="1" applyBorder="1" applyAlignment="1">
      <alignment horizontal="left"/>
    </xf>
    <xf numFmtId="166" fontId="11" fillId="0" borderId="10" xfId="0" applyNumberFormat="1" applyFont="1" applyBorder="1"/>
    <xf numFmtId="0" fontId="1" fillId="0" borderId="10" xfId="0" applyFont="1" applyBorder="1" applyAlignment="1">
      <alignment horizontal="left"/>
    </xf>
    <xf numFmtId="49" fontId="1" fillId="0" borderId="10" xfId="1" applyNumberFormat="1" applyFont="1" applyFill="1" applyBorder="1" applyAlignment="1">
      <alignment horizontal="center" vertical="top"/>
    </xf>
    <xf numFmtId="167" fontId="1" fillId="0" borderId="10" xfId="2" applyNumberFormat="1" applyFont="1" applyFill="1" applyBorder="1" applyAlignment="1">
      <alignment horizontal="right"/>
    </xf>
    <xf numFmtId="49" fontId="10" fillId="0" borderId="10" xfId="1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49" fontId="3" fillId="0" borderId="0" xfId="1" applyNumberFormat="1" applyFill="1" applyBorder="1" applyAlignment="1">
      <alignment horizontal="center"/>
    </xf>
    <xf numFmtId="166" fontId="13" fillId="0" borderId="10" xfId="0" applyNumberFormat="1" applyFont="1" applyBorder="1"/>
    <xf numFmtId="0" fontId="6" fillId="0" borderId="10" xfId="1" applyNumberFormat="1" applyFont="1" applyFill="1" applyBorder="1" applyAlignment="1">
      <alignment horizontal="center"/>
    </xf>
    <xf numFmtId="49" fontId="3" fillId="0" borderId="18" xfId="1" applyNumberFormat="1" applyFill="1" applyBorder="1" applyAlignment="1">
      <alignment horizontal="center"/>
    </xf>
    <xf numFmtId="49" fontId="3" fillId="0" borderId="20" xfId="1" applyNumberFormat="1" applyFill="1" applyBorder="1" applyAlignment="1">
      <alignment horizontal="center"/>
    </xf>
    <xf numFmtId="49" fontId="3" fillId="0" borderId="8" xfId="1" applyNumberFormat="1" applyFill="1" applyBorder="1" applyAlignment="1">
      <alignment horizontal="center"/>
    </xf>
    <xf numFmtId="49" fontId="3" fillId="0" borderId="23" xfId="1" applyNumberFormat="1" applyFill="1" applyBorder="1" applyAlignment="1">
      <alignment horizontal="center"/>
    </xf>
    <xf numFmtId="49" fontId="10" fillId="0" borderId="0" xfId="1" applyNumberFormat="1" applyFont="1" applyFill="1" applyBorder="1" applyAlignment="1">
      <alignment horizontal="center"/>
    </xf>
    <xf numFmtId="49" fontId="3" fillId="0" borderId="30" xfId="1" applyNumberFormat="1" applyFill="1" applyBorder="1" applyAlignment="1">
      <alignment horizontal="center"/>
    </xf>
    <xf numFmtId="49" fontId="3" fillId="0" borderId="34" xfId="1" applyNumberFormat="1" applyFill="1" applyBorder="1" applyAlignment="1">
      <alignment horizontal="center"/>
    </xf>
    <xf numFmtId="49" fontId="3" fillId="0" borderId="39" xfId="1" applyNumberFormat="1" applyFill="1" applyBorder="1" applyAlignment="1">
      <alignment horizontal="center"/>
    </xf>
    <xf numFmtId="49" fontId="3" fillId="0" borderId="43" xfId="1" applyNumberFormat="1" applyFill="1" applyBorder="1" applyAlignment="1">
      <alignment horizontal="center"/>
    </xf>
    <xf numFmtId="43" fontId="0" fillId="0" borderId="0" xfId="0" applyNumberFormat="1"/>
    <xf numFmtId="166" fontId="0" fillId="0" borderId="10" xfId="0" applyNumberFormat="1" applyBorder="1" applyAlignment="1">
      <alignment horizontal="right"/>
    </xf>
    <xf numFmtId="0" fontId="8" fillId="8" borderId="10" xfId="1" applyFont="1" applyFill="1" applyBorder="1" applyAlignment="1">
      <alignment horizontal="center" vertical="center"/>
    </xf>
    <xf numFmtId="0" fontId="0" fillId="8" borderId="0" xfId="0" applyFill="1"/>
    <xf numFmtId="0" fontId="6" fillId="8" borderId="1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3" fillId="0" borderId="10" xfId="1" applyNumberFormat="1" applyFill="1" applyBorder="1" applyAlignment="1">
      <alignment horizontal="center" vertical="center"/>
    </xf>
    <xf numFmtId="0" fontId="8" fillId="8" borderId="10" xfId="1" applyFont="1" applyFill="1" applyBorder="1" applyAlignment="1">
      <alignment vertical="center"/>
    </xf>
    <xf numFmtId="49" fontId="3" fillId="0" borderId="10" xfId="1" applyNumberFormat="1" applyFill="1" applyBorder="1" applyAlignment="1"/>
    <xf numFmtId="49" fontId="3" fillId="0" borderId="10" xfId="1" applyNumberFormat="1" applyFill="1" applyBorder="1" applyAlignment="1">
      <alignment horizontal="center" vertical="center"/>
    </xf>
    <xf numFmtId="0" fontId="3" fillId="0" borderId="10" xfId="1" applyNumberFormat="1" applyFill="1" applyBorder="1" applyAlignment="1">
      <alignment horizontal="center" vertical="center"/>
    </xf>
    <xf numFmtId="49" fontId="3" fillId="0" borderId="10" xfId="1" applyNumberFormat="1" applyFill="1" applyBorder="1" applyAlignment="1">
      <alignment horizontal="left" vertical="center"/>
    </xf>
    <xf numFmtId="166" fontId="14" fillId="0" borderId="10" xfId="1" applyNumberFormat="1" applyFont="1" applyFill="1" applyBorder="1" applyAlignment="1">
      <alignment horizontal="center" vertical="center"/>
    </xf>
    <xf numFmtId="167" fontId="14" fillId="0" borderId="10" xfId="2" applyNumberFormat="1" applyFont="1" applyFill="1" applyBorder="1" applyAlignment="1">
      <alignment horizontal="left"/>
    </xf>
    <xf numFmtId="166" fontId="15" fillId="0" borderId="10" xfId="0" applyNumberFormat="1" applyFont="1" applyBorder="1"/>
    <xf numFmtId="0" fontId="14" fillId="0" borderId="10" xfId="0" applyFont="1" applyBorder="1" applyAlignment="1">
      <alignment horizontal="center" vertical="center"/>
    </xf>
    <xf numFmtId="0" fontId="14" fillId="0" borderId="10" xfId="1" applyFont="1" applyFill="1" applyBorder="1" applyAlignment="1">
      <alignment horizontal="left"/>
    </xf>
    <xf numFmtId="49" fontId="14" fillId="0" borderId="10" xfId="1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/>
    </xf>
    <xf numFmtId="0" fontId="8" fillId="6" borderId="11" xfId="1" applyFont="1" applyFill="1" applyBorder="1" applyAlignment="1">
      <alignment horizontal="center" vertical="center"/>
    </xf>
    <xf numFmtId="0" fontId="8" fillId="8" borderId="11" xfId="1" applyFont="1" applyFill="1" applyBorder="1" applyAlignment="1">
      <alignment horizontal="center" vertical="center"/>
    </xf>
    <xf numFmtId="0" fontId="0" fillId="0" borderId="10" xfId="0" applyBorder="1"/>
    <xf numFmtId="165" fontId="0" fillId="0" borderId="10" xfId="2" applyNumberFormat="1" applyFont="1" applyBorder="1"/>
    <xf numFmtId="0" fontId="9" fillId="0" borderId="10" xfId="0" applyFont="1" applyBorder="1"/>
    <xf numFmtId="165" fontId="15" fillId="0" borderId="10" xfId="2" applyNumberFormat="1" applyFont="1" applyBorder="1"/>
    <xf numFmtId="0" fontId="7" fillId="0" borderId="10" xfId="0" applyFont="1" applyBorder="1"/>
    <xf numFmtId="165" fontId="9" fillId="0" borderId="10" xfId="2" applyNumberFormat="1" applyFont="1" applyBorder="1"/>
    <xf numFmtId="14" fontId="14" fillId="0" borderId="10" xfId="1" applyNumberFormat="1" applyFont="1" applyFill="1" applyBorder="1" applyAlignment="1">
      <alignment horizontal="left"/>
    </xf>
    <xf numFmtId="49" fontId="14" fillId="0" borderId="10" xfId="1" applyNumberFormat="1" applyFont="1" applyFill="1" applyBorder="1" applyAlignment="1">
      <alignment horizontal="left"/>
    </xf>
    <xf numFmtId="49" fontId="14" fillId="0" borderId="10" xfId="1" applyNumberFormat="1" applyFont="1" applyFill="1" applyBorder="1" applyAlignment="1">
      <alignment horizontal="left" vertical="top"/>
    </xf>
    <xf numFmtId="168" fontId="3" fillId="0" borderId="10" xfId="1" applyNumberFormat="1" applyFill="1" applyBorder="1" applyAlignment="1">
      <alignment horizontal="center"/>
    </xf>
    <xf numFmtId="168" fontId="14" fillId="0" borderId="10" xfId="1" applyNumberFormat="1" applyFont="1" applyFill="1" applyBorder="1" applyAlignment="1">
      <alignment horizontal="center"/>
    </xf>
    <xf numFmtId="168" fontId="8" fillId="8" borderId="10" xfId="1" applyNumberFormat="1" applyFont="1" applyFill="1" applyBorder="1" applyAlignment="1">
      <alignment horizontal="center" vertical="center"/>
    </xf>
    <xf numFmtId="168" fontId="0" fillId="0" borderId="10" xfId="0" applyNumberFormat="1" applyBorder="1" applyAlignment="1">
      <alignment horizontal="center"/>
    </xf>
    <xf numFmtId="168" fontId="15" fillId="0" borderId="10" xfId="0" applyNumberFormat="1" applyFont="1" applyBorder="1" applyAlignment="1">
      <alignment horizontal="center"/>
    </xf>
    <xf numFmtId="168" fontId="0" fillId="0" borderId="10" xfId="0" applyNumberFormat="1" applyBorder="1"/>
    <xf numFmtId="168" fontId="11" fillId="0" borderId="11" xfId="0" applyNumberFormat="1" applyFont="1" applyBorder="1"/>
    <xf numFmtId="168" fontId="14" fillId="8" borderId="10" xfId="1" applyNumberFormat="1" applyFont="1" applyFill="1" applyBorder="1" applyAlignment="1">
      <alignment horizontal="center" vertical="center"/>
    </xf>
    <xf numFmtId="49" fontId="3" fillId="0" borderId="10" xfId="1" applyNumberFormat="1" applyFill="1" applyBorder="1" applyAlignment="1">
      <alignment horizontal="left"/>
    </xf>
    <xf numFmtId="0" fontId="3" fillId="0" borderId="10" xfId="1" applyNumberFormat="1" applyFill="1" applyBorder="1" applyAlignment="1">
      <alignment horizontal="left"/>
    </xf>
    <xf numFmtId="165" fontId="7" fillId="0" borderId="10" xfId="2" applyNumberFormat="1" applyFont="1" applyBorder="1"/>
    <xf numFmtId="0" fontId="3" fillId="9" borderId="10" xfId="1" applyNumberFormat="1" applyFill="1" applyBorder="1" applyAlignment="1">
      <alignment horizontal="center"/>
    </xf>
    <xf numFmtId="49" fontId="14" fillId="9" borderId="10" xfId="1" applyNumberFormat="1" applyFont="1" applyFill="1" applyBorder="1" applyAlignment="1">
      <alignment horizontal="left"/>
    </xf>
    <xf numFmtId="49" fontId="14" fillId="9" borderId="10" xfId="1" applyNumberFormat="1" applyFont="1" applyFill="1" applyBorder="1" applyAlignment="1">
      <alignment horizontal="center" vertical="center"/>
    </xf>
    <xf numFmtId="0" fontId="14" fillId="9" borderId="10" xfId="1" applyFont="1" applyFill="1" applyBorder="1" applyAlignment="1">
      <alignment horizontal="left"/>
    </xf>
    <xf numFmtId="168" fontId="14" fillId="9" borderId="10" xfId="1" applyNumberFormat="1" applyFont="1" applyFill="1" applyBorder="1" applyAlignment="1">
      <alignment horizontal="center"/>
    </xf>
    <xf numFmtId="166" fontId="14" fillId="9" borderId="10" xfId="1" applyNumberFormat="1" applyFont="1" applyFill="1" applyBorder="1" applyAlignment="1">
      <alignment horizontal="center" vertical="center"/>
    </xf>
    <xf numFmtId="167" fontId="14" fillId="9" borderId="10" xfId="2" applyNumberFormat="1" applyFont="1" applyFill="1" applyBorder="1" applyAlignment="1">
      <alignment horizontal="left"/>
    </xf>
    <xf numFmtId="168" fontId="15" fillId="9" borderId="10" xfId="0" applyNumberFormat="1" applyFont="1" applyFill="1" applyBorder="1" applyAlignment="1">
      <alignment horizontal="center"/>
    </xf>
    <xf numFmtId="166" fontId="15" fillId="9" borderId="10" xfId="0" applyNumberFormat="1" applyFont="1" applyFill="1" applyBorder="1"/>
    <xf numFmtId="168" fontId="11" fillId="9" borderId="11" xfId="0" applyNumberFormat="1" applyFont="1" applyFill="1" applyBorder="1"/>
    <xf numFmtId="165" fontId="15" fillId="9" borderId="10" xfId="2" applyNumberFormat="1" applyFont="1" applyFill="1" applyBorder="1"/>
    <xf numFmtId="168" fontId="14" fillId="9" borderId="10" xfId="1" applyNumberFormat="1" applyFont="1" applyFill="1" applyBorder="1" applyAlignment="1">
      <alignment horizontal="center" vertical="center"/>
    </xf>
    <xf numFmtId="166" fontId="9" fillId="9" borderId="10" xfId="0" applyNumberFormat="1" applyFont="1" applyFill="1" applyBorder="1"/>
    <xf numFmtId="165" fontId="0" fillId="9" borderId="10" xfId="2" applyNumberFormat="1" applyFont="1" applyFill="1" applyBorder="1"/>
    <xf numFmtId="14" fontId="14" fillId="9" borderId="10" xfId="1" applyNumberFormat="1" applyFont="1" applyFill="1" applyBorder="1" applyAlignment="1">
      <alignment horizontal="left"/>
    </xf>
    <xf numFmtId="0" fontId="14" fillId="9" borderId="10" xfId="1" applyNumberFormat="1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left"/>
    </xf>
    <xf numFmtId="0" fontId="6" fillId="9" borderId="10" xfId="0" applyFont="1" applyFill="1" applyBorder="1" applyAlignment="1">
      <alignment horizontal="center" vertical="center"/>
    </xf>
    <xf numFmtId="168" fontId="3" fillId="7" borderId="10" xfId="1" applyNumberFormat="1" applyFill="1" applyBorder="1" applyAlignment="1">
      <alignment horizontal="center"/>
    </xf>
    <xf numFmtId="168" fontId="16" fillId="10" borderId="10" xfId="3" applyNumberFormat="1" applyBorder="1" applyAlignment="1">
      <alignment horizontal="center" vertical="center"/>
    </xf>
    <xf numFmtId="49" fontId="3" fillId="2" borderId="1" xfId="1" applyNumberFormat="1" applyAlignment="1">
      <alignment horizontal="left"/>
    </xf>
    <xf numFmtId="49" fontId="3" fillId="2" borderId="1" xfId="1" applyNumberFormat="1" applyAlignment="1">
      <alignment horizontal="center" vertical="center"/>
    </xf>
    <xf numFmtId="0" fontId="3" fillId="2" borderId="1" xfId="1" applyAlignment="1">
      <alignment horizontal="left"/>
    </xf>
    <xf numFmtId="168" fontId="3" fillId="2" borderId="1" xfId="1" applyNumberFormat="1" applyAlignment="1">
      <alignment horizontal="center"/>
    </xf>
    <xf numFmtId="166" fontId="3" fillId="2" borderId="1" xfId="1" applyNumberFormat="1" applyAlignment="1">
      <alignment horizontal="center" vertical="center"/>
    </xf>
    <xf numFmtId="167" fontId="3" fillId="2" borderId="1" xfId="1" applyNumberFormat="1" applyAlignment="1">
      <alignment horizontal="left"/>
    </xf>
    <xf numFmtId="166" fontId="3" fillId="2" borderId="1" xfId="1" applyNumberFormat="1"/>
    <xf numFmtId="168" fontId="3" fillId="2" borderId="1" xfId="1" applyNumberFormat="1" applyAlignment="1">
      <alignment horizontal="center" vertical="center"/>
    </xf>
    <xf numFmtId="0" fontId="3" fillId="2" borderId="1" xfId="1"/>
    <xf numFmtId="0" fontId="16" fillId="10" borderId="0" xfId="3"/>
    <xf numFmtId="0" fontId="16" fillId="13" borderId="10" xfId="6" applyNumberFormat="1" applyBorder="1" applyAlignment="1">
      <alignment horizontal="center"/>
    </xf>
    <xf numFmtId="0" fontId="7" fillId="12" borderId="10" xfId="5" applyNumberFormat="1" applyBorder="1" applyAlignment="1">
      <alignment horizontal="center"/>
    </xf>
    <xf numFmtId="0" fontId="17" fillId="11" borderId="10" xfId="4" applyNumberFormat="1" applyBorder="1" applyAlignment="1">
      <alignment horizontal="center"/>
    </xf>
    <xf numFmtId="49" fontId="17" fillId="11" borderId="10" xfId="4" applyNumberFormat="1" applyBorder="1" applyAlignment="1">
      <alignment horizontal="left"/>
    </xf>
    <xf numFmtId="49" fontId="17" fillId="11" borderId="10" xfId="4" applyNumberFormat="1" applyBorder="1" applyAlignment="1">
      <alignment horizontal="center" vertical="center"/>
    </xf>
    <xf numFmtId="0" fontId="17" fillId="11" borderId="10" xfId="4" applyBorder="1" applyAlignment="1">
      <alignment horizontal="left"/>
    </xf>
    <xf numFmtId="168" fontId="17" fillId="11" borderId="10" xfId="4" applyNumberFormat="1" applyBorder="1" applyAlignment="1">
      <alignment horizontal="center"/>
    </xf>
    <xf numFmtId="166" fontId="17" fillId="11" borderId="10" xfId="4" applyNumberFormat="1" applyBorder="1" applyAlignment="1">
      <alignment horizontal="center" vertical="center"/>
    </xf>
    <xf numFmtId="167" fontId="17" fillId="11" borderId="10" xfId="4" applyNumberFormat="1" applyBorder="1" applyAlignment="1">
      <alignment horizontal="left"/>
    </xf>
    <xf numFmtId="166" fontId="17" fillId="11" borderId="10" xfId="4" applyNumberFormat="1" applyBorder="1"/>
    <xf numFmtId="168" fontId="17" fillId="11" borderId="11" xfId="4" applyNumberFormat="1" applyBorder="1"/>
    <xf numFmtId="165" fontId="17" fillId="11" borderId="10" xfId="4" applyNumberFormat="1" applyBorder="1"/>
    <xf numFmtId="168" fontId="17" fillId="11" borderId="10" xfId="4" applyNumberFormat="1" applyBorder="1" applyAlignment="1">
      <alignment horizontal="center" vertical="center"/>
    </xf>
    <xf numFmtId="0" fontId="17" fillId="11" borderId="10" xfId="4" applyBorder="1" applyAlignment="1">
      <alignment horizontal="center"/>
    </xf>
    <xf numFmtId="0" fontId="17" fillId="11" borderId="10" xfId="4" applyBorder="1" applyAlignment="1">
      <alignment horizontal="center" vertical="top"/>
    </xf>
    <xf numFmtId="0" fontId="17" fillId="11" borderId="0" xfId="4" applyBorder="1" applyAlignment="1">
      <alignment horizontal="center" vertical="top"/>
    </xf>
    <xf numFmtId="0" fontId="17" fillId="11" borderId="0" xfId="4" applyBorder="1" applyAlignment="1">
      <alignment horizontal="center"/>
    </xf>
    <xf numFmtId="14" fontId="0" fillId="0" borderId="0" xfId="0" applyNumberFormat="1"/>
    <xf numFmtId="14" fontId="17" fillId="11" borderId="0" xfId="4" applyNumberFormat="1" applyBorder="1" applyAlignment="1">
      <alignment horizontal="center" vertical="top"/>
    </xf>
    <xf numFmtId="14" fontId="7" fillId="0" borderId="0" xfId="0" applyNumberFormat="1" applyFont="1"/>
    <xf numFmtId="14" fontId="17" fillId="11" borderId="0" xfId="4" applyNumberFormat="1" applyBorder="1" applyAlignment="1">
      <alignment horizontal="center"/>
    </xf>
    <xf numFmtId="14" fontId="3" fillId="2" borderId="1" xfId="1" applyNumberFormat="1"/>
    <xf numFmtId="0" fontId="18" fillId="0" borderId="0" xfId="4" applyFont="1" applyFill="1" applyBorder="1" applyAlignment="1">
      <alignment horizontal="center"/>
    </xf>
    <xf numFmtId="166" fontId="18" fillId="0" borderId="10" xfId="0" applyNumberFormat="1" applyFont="1" applyBorder="1"/>
    <xf numFmtId="14" fontId="0" fillId="0" borderId="19" xfId="0" applyNumberFormat="1" applyBorder="1"/>
    <xf numFmtId="14" fontId="0" fillId="0" borderId="10" xfId="0" applyNumberFormat="1" applyBorder="1"/>
    <xf numFmtId="0" fontId="0" fillId="0" borderId="32" xfId="0" applyBorder="1"/>
    <xf numFmtId="0" fontId="0" fillId="0" borderId="19" xfId="0" applyBorder="1"/>
    <xf numFmtId="0" fontId="19" fillId="9" borderId="10" xfId="0" applyFont="1" applyFill="1" applyBorder="1" applyAlignment="1">
      <alignment horizontal="center" vertical="center"/>
    </xf>
    <xf numFmtId="49" fontId="9" fillId="0" borderId="10" xfId="0" applyNumberFormat="1" applyFont="1" applyBorder="1"/>
    <xf numFmtId="49" fontId="0" fillId="0" borderId="10" xfId="0" applyNumberFormat="1" applyBorder="1"/>
    <xf numFmtId="49" fontId="8" fillId="6" borderId="0" xfId="1" applyNumberFormat="1" applyFont="1" applyFill="1" applyBorder="1" applyAlignment="1">
      <alignment horizontal="center" vertical="center"/>
    </xf>
    <xf numFmtId="49" fontId="18" fillId="0" borderId="10" xfId="0" applyNumberFormat="1" applyFont="1" applyBorder="1"/>
    <xf numFmtId="49" fontId="19" fillId="6" borderId="0" xfId="1" applyNumberFormat="1" applyFont="1" applyFill="1" applyBorder="1" applyAlignment="1">
      <alignment horizontal="center" vertical="center"/>
    </xf>
    <xf numFmtId="49" fontId="19" fillId="9" borderId="10" xfId="0" applyNumberFormat="1" applyFont="1" applyFill="1" applyBorder="1" applyAlignment="1">
      <alignment horizontal="center" vertical="center"/>
    </xf>
    <xf numFmtId="49" fontId="18" fillId="0" borderId="0" xfId="0" applyNumberFormat="1" applyFont="1"/>
    <xf numFmtId="0" fontId="18" fillId="0" borderId="10" xfId="0" applyFont="1" applyBorder="1"/>
    <xf numFmtId="0" fontId="19" fillId="6" borderId="0" xfId="1" applyFont="1" applyFill="1" applyBorder="1" applyAlignment="1">
      <alignment horizontal="center" vertical="center"/>
    </xf>
    <xf numFmtId="0" fontId="18" fillId="0" borderId="0" xfId="0" applyFont="1"/>
    <xf numFmtId="0" fontId="0" fillId="0" borderId="11" xfId="0" applyBorder="1"/>
    <xf numFmtId="166" fontId="9" fillId="0" borderId="11" xfId="0" applyNumberFormat="1" applyFont="1" applyBorder="1"/>
    <xf numFmtId="0" fontId="6" fillId="9" borderId="11" xfId="0" applyFont="1" applyFill="1" applyBorder="1" applyAlignment="1">
      <alignment horizontal="center" vertical="center"/>
    </xf>
    <xf numFmtId="0" fontId="0" fillId="0" borderId="13" xfId="0" applyBorder="1"/>
    <xf numFmtId="166" fontId="18" fillId="0" borderId="13" xfId="0" applyNumberFormat="1" applyFont="1" applyBorder="1"/>
    <xf numFmtId="0" fontId="8" fillId="6" borderId="32" xfId="1" applyFont="1" applyFill="1" applyBorder="1" applyAlignment="1">
      <alignment horizontal="center" vertical="center"/>
    </xf>
    <xf numFmtId="14" fontId="0" fillId="0" borderId="32" xfId="0" applyNumberFormat="1" applyBorder="1"/>
    <xf numFmtId="0" fontId="1" fillId="6" borderId="0" xfId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49" fontId="0" fillId="0" borderId="0" xfId="0" applyNumberFormat="1"/>
    <xf numFmtId="0" fontId="1" fillId="0" borderId="10" xfId="1" applyNumberFormat="1" applyFont="1" applyFill="1" applyBorder="1" applyAlignment="1">
      <alignment horizontal="center"/>
    </xf>
    <xf numFmtId="49" fontId="1" fillId="0" borderId="10" xfId="1" applyNumberFormat="1" applyFont="1" applyFill="1" applyBorder="1" applyAlignment="1">
      <alignment horizontal="left"/>
    </xf>
    <xf numFmtId="49" fontId="1" fillId="0" borderId="10" xfId="1" applyNumberFormat="1" applyFont="1" applyFill="1" applyBorder="1" applyAlignment="1">
      <alignment horizontal="center" vertical="center"/>
    </xf>
    <xf numFmtId="168" fontId="1" fillId="0" borderId="10" xfId="1" applyNumberFormat="1" applyFont="1" applyFill="1" applyBorder="1" applyAlignment="1">
      <alignment horizontal="center"/>
    </xf>
    <xf numFmtId="166" fontId="1" fillId="0" borderId="10" xfId="1" applyNumberFormat="1" applyFont="1" applyFill="1" applyBorder="1" applyAlignment="1">
      <alignment horizontal="center" vertical="center"/>
    </xf>
    <xf numFmtId="168" fontId="1" fillId="8" borderId="10" xfId="1" applyNumberFormat="1" applyFont="1" applyFill="1" applyBorder="1" applyAlignment="1">
      <alignment horizontal="center" vertical="center"/>
    </xf>
    <xf numFmtId="14" fontId="1" fillId="0" borderId="10" xfId="1" applyNumberFormat="1" applyFont="1" applyFill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10" xfId="1" applyNumberFormat="1" applyFont="1" applyFill="1" applyBorder="1" applyAlignment="1">
      <alignment horizontal="center" vertical="center"/>
    </xf>
    <xf numFmtId="49" fontId="1" fillId="0" borderId="10" xfId="1" applyNumberFormat="1" applyFont="1" applyFill="1" applyBorder="1" applyAlignment="1">
      <alignment horizontal="left" vertical="center"/>
    </xf>
    <xf numFmtId="0" fontId="0" fillId="0" borderId="48" xfId="0" applyBorder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center"/>
    </xf>
    <xf numFmtId="49" fontId="8" fillId="6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68" fontId="7" fillId="0" borderId="10" xfId="0" applyNumberFormat="1" applyFont="1" applyBorder="1" applyAlignment="1">
      <alignment horizontal="center"/>
    </xf>
    <xf numFmtId="168" fontId="7" fillId="0" borderId="10" xfId="0" applyNumberFormat="1" applyFont="1" applyBorder="1"/>
    <xf numFmtId="14" fontId="7" fillId="0" borderId="10" xfId="0" applyNumberFormat="1" applyFont="1" applyBorder="1"/>
    <xf numFmtId="49" fontId="7" fillId="0" borderId="10" xfId="0" applyNumberFormat="1" applyFont="1" applyBorder="1"/>
    <xf numFmtId="0" fontId="7" fillId="0" borderId="19" xfId="0" applyFont="1" applyBorder="1"/>
    <xf numFmtId="14" fontId="7" fillId="0" borderId="19" xfId="0" applyNumberFormat="1" applyFont="1" applyBorder="1"/>
    <xf numFmtId="49" fontId="1" fillId="0" borderId="10" xfId="1" applyNumberFormat="1" applyFont="1" applyFill="1" applyBorder="1" applyAlignment="1"/>
    <xf numFmtId="0" fontId="1" fillId="0" borderId="10" xfId="0" applyFont="1" applyBorder="1"/>
    <xf numFmtId="49" fontId="1" fillId="0" borderId="10" xfId="1" applyNumberFormat="1" applyFont="1" applyFill="1" applyBorder="1" applyAlignment="1">
      <alignment horizontal="left" vertical="top"/>
    </xf>
    <xf numFmtId="14" fontId="7" fillId="0" borderId="30" xfId="0" applyNumberFormat="1" applyFont="1" applyBorder="1"/>
    <xf numFmtId="0" fontId="7" fillId="0" borderId="30" xfId="0" applyFont="1" applyBorder="1"/>
    <xf numFmtId="17" fontId="3" fillId="3" borderId="10" xfId="1" applyNumberFormat="1" applyFill="1" applyBorder="1" applyAlignment="1">
      <alignment horizontal="center" vertical="center" wrapText="1"/>
    </xf>
    <xf numFmtId="17" fontId="3" fillId="3" borderId="10" xfId="1" applyNumberFormat="1" applyFill="1" applyBorder="1" applyAlignment="1">
      <alignment horizontal="center" vertical="center"/>
    </xf>
    <xf numFmtId="49" fontId="3" fillId="4" borderId="2" xfId="1" applyNumberFormat="1" applyFill="1" applyBorder="1" applyAlignment="1">
      <alignment horizontal="center" vertical="center"/>
    </xf>
    <xf numFmtId="49" fontId="3" fillId="2" borderId="27" xfId="1" applyNumberFormat="1" applyBorder="1"/>
    <xf numFmtId="49" fontId="1" fillId="0" borderId="0" xfId="0" applyNumberFormat="1" applyFont="1"/>
    <xf numFmtId="49" fontId="1" fillId="0" borderId="0" xfId="2" applyNumberFormat="1" applyFont="1"/>
    <xf numFmtId="49" fontId="3" fillId="4" borderId="17" xfId="1" applyNumberFormat="1" applyFill="1" applyBorder="1" applyAlignment="1">
      <alignment horizontal="center" vertical="center"/>
    </xf>
    <xf numFmtId="49" fontId="3" fillId="2" borderId="10" xfId="1" applyNumberFormat="1" applyBorder="1"/>
    <xf numFmtId="49" fontId="3" fillId="2" borderId="30" xfId="1" applyNumberFormat="1" applyBorder="1"/>
    <xf numFmtId="49" fontId="3" fillId="2" borderId="18" xfId="1" applyNumberFormat="1" applyBorder="1"/>
    <xf numFmtId="49" fontId="3" fillId="2" borderId="19" xfId="1" applyNumberFormat="1" applyBorder="1"/>
    <xf numFmtId="49" fontId="3" fillId="2" borderId="22" xfId="1" applyNumberFormat="1" applyBorder="1"/>
    <xf numFmtId="49" fontId="3" fillId="2" borderId="32" xfId="1" applyNumberFormat="1" applyBorder="1"/>
    <xf numFmtId="49" fontId="3" fillId="0" borderId="1" xfId="1" applyNumberFormat="1" applyFill="1" applyAlignment="1">
      <alignment horizontal="center" vertical="center"/>
    </xf>
    <xf numFmtId="49" fontId="3" fillId="0" borderId="16" xfId="1" applyNumberFormat="1" applyFill="1" applyBorder="1" applyAlignment="1">
      <alignment horizontal="center" vertical="center"/>
    </xf>
    <xf numFmtId="49" fontId="3" fillId="3" borderId="1" xfId="1" applyNumberFormat="1" applyFill="1" applyAlignment="1">
      <alignment horizontal="center" vertical="center" wrapText="1"/>
    </xf>
    <xf numFmtId="49" fontId="3" fillId="0" borderId="0" xfId="1" applyNumberFormat="1" applyFill="1" applyBorder="1" applyAlignment="1">
      <alignment horizontal="center" vertical="center"/>
    </xf>
    <xf numFmtId="49" fontId="3" fillId="4" borderId="9" xfId="1" applyNumberFormat="1" applyFill="1" applyBorder="1" applyAlignment="1">
      <alignment horizontal="center" vertical="center"/>
    </xf>
    <xf numFmtId="49" fontId="3" fillId="3" borderId="10" xfId="1" applyNumberFormat="1" applyFill="1" applyBorder="1" applyAlignment="1">
      <alignment horizontal="center" vertical="center" wrapText="1"/>
    </xf>
    <xf numFmtId="49" fontId="3" fillId="2" borderId="1" xfId="1" applyNumberFormat="1"/>
    <xf numFmtId="49" fontId="3" fillId="0" borderId="0" xfId="1" applyNumberFormat="1" applyFill="1" applyBorder="1"/>
    <xf numFmtId="49" fontId="3" fillId="2" borderId="7" xfId="1" applyNumberFormat="1" applyBorder="1"/>
    <xf numFmtId="49" fontId="3" fillId="2" borderId="2" xfId="1" applyNumberFormat="1" applyBorder="1" applyAlignment="1">
      <alignment horizontal="center"/>
    </xf>
    <xf numFmtId="49" fontId="3" fillId="0" borderId="2" xfId="1" applyNumberFormat="1" applyFill="1" applyBorder="1" applyAlignment="1">
      <alignment horizontal="left"/>
    </xf>
    <xf numFmtId="49" fontId="3" fillId="0" borderId="1" xfId="1" applyNumberFormat="1" applyFill="1" applyAlignment="1">
      <alignment horizontal="left"/>
    </xf>
    <xf numFmtId="49" fontId="3" fillId="0" borderId="16" xfId="1" applyNumberFormat="1" applyFill="1" applyBorder="1" applyAlignment="1">
      <alignment horizontal="left"/>
    </xf>
    <xf numFmtId="49" fontId="3" fillId="2" borderId="3" xfId="1" applyNumberFormat="1" applyBorder="1" applyAlignment="1">
      <alignment horizontal="center"/>
    </xf>
    <xf numFmtId="49" fontId="3" fillId="0" borderId="0" xfId="1" applyNumberFormat="1" applyFill="1" applyBorder="1" applyAlignment="1">
      <alignment horizontal="left"/>
    </xf>
    <xf numFmtId="49" fontId="3" fillId="0" borderId="18" xfId="1" applyNumberFormat="1" applyFill="1" applyBorder="1" applyAlignment="1">
      <alignment horizontal="left"/>
    </xf>
    <xf numFmtId="49" fontId="3" fillId="2" borderId="26" xfId="1" applyNumberFormat="1" applyBorder="1" applyAlignment="1">
      <alignment horizontal="center"/>
    </xf>
    <xf numFmtId="49" fontId="3" fillId="0" borderId="21" xfId="1" applyNumberFormat="1" applyFill="1" applyBorder="1" applyAlignment="1">
      <alignment horizontal="left"/>
    </xf>
    <xf numFmtId="49" fontId="3" fillId="0" borderId="5" xfId="1" applyNumberFormat="1" applyFill="1" applyBorder="1" applyAlignment="1">
      <alignment horizontal="left"/>
    </xf>
    <xf numFmtId="49" fontId="3" fillId="2" borderId="28" xfId="1" applyNumberFormat="1" applyBorder="1" applyAlignment="1">
      <alignment horizontal="center"/>
    </xf>
    <xf numFmtId="49" fontId="3" fillId="0" borderId="44" xfId="1" applyNumberFormat="1" applyFill="1" applyBorder="1" applyAlignment="1">
      <alignment horizontal="left"/>
    </xf>
    <xf numFmtId="49" fontId="3" fillId="0" borderId="45" xfId="1" applyNumberFormat="1" applyFill="1" applyBorder="1" applyAlignment="1">
      <alignment horizontal="left"/>
    </xf>
    <xf numFmtId="49" fontId="3" fillId="0" borderId="35" xfId="1" applyNumberFormat="1" applyFill="1" applyBorder="1" applyAlignment="1">
      <alignment horizontal="left"/>
    </xf>
    <xf numFmtId="49" fontId="3" fillId="0" borderId="29" xfId="1" applyNumberFormat="1" applyFill="1" applyBorder="1" applyAlignment="1">
      <alignment horizontal="left"/>
    </xf>
    <xf numFmtId="49" fontId="3" fillId="0" borderId="46" xfId="1" applyNumberFormat="1" applyFill="1" applyBorder="1" applyAlignment="1">
      <alignment horizontal="left"/>
    </xf>
    <xf numFmtId="49" fontId="3" fillId="0" borderId="47" xfId="1" applyNumberFormat="1" applyFill="1" applyBorder="1" applyAlignment="1">
      <alignment horizontal="left"/>
    </xf>
    <xf numFmtId="49" fontId="3" fillId="0" borderId="11" xfId="1" applyNumberFormat="1" applyFill="1" applyBorder="1" applyAlignment="1">
      <alignment horizontal="left"/>
    </xf>
    <xf numFmtId="49" fontId="3" fillId="2" borderId="17" xfId="1" applyNumberFormat="1" applyBorder="1" applyAlignment="1">
      <alignment horizontal="center"/>
    </xf>
    <xf numFmtId="49" fontId="3" fillId="2" borderId="10" xfId="1" applyNumberForma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1" fillId="0" borderId="0" xfId="2" applyNumberFormat="1" applyFont="1" applyAlignment="1">
      <alignment horizontal="left"/>
    </xf>
    <xf numFmtId="49" fontId="1" fillId="0" borderId="0" xfId="2" applyNumberFormat="1" applyFont="1" applyFill="1" applyAlignment="1">
      <alignment horizontal="left"/>
    </xf>
    <xf numFmtId="49" fontId="1" fillId="0" borderId="0" xfId="2" applyNumberFormat="1" applyFont="1" applyFill="1" applyBorder="1"/>
    <xf numFmtId="49" fontId="3" fillId="0" borderId="0" xfId="2" applyNumberFormat="1" applyFont="1" applyFill="1" applyBorder="1"/>
    <xf numFmtId="49" fontId="6" fillId="0" borderId="15" xfId="1" applyNumberFormat="1" applyFont="1" applyFill="1" applyBorder="1"/>
    <xf numFmtId="49" fontId="6" fillId="0" borderId="29" xfId="1" applyNumberFormat="1" applyFont="1" applyFill="1" applyBorder="1" applyAlignment="1">
      <alignment horizontal="center"/>
    </xf>
    <xf numFmtId="49" fontId="3" fillId="2" borderId="31" xfId="1" applyNumberFormat="1" applyBorder="1"/>
    <xf numFmtId="49" fontId="3" fillId="2" borderId="8" xfId="1" applyNumberFormat="1" applyBorder="1"/>
    <xf numFmtId="49" fontId="3" fillId="2" borderId="9" xfId="1" applyNumberFormat="1" applyBorder="1"/>
    <xf numFmtId="49" fontId="3" fillId="0" borderId="3" xfId="1" applyNumberFormat="1" applyFill="1" applyBorder="1" applyAlignment="1">
      <alignment horizontal="left"/>
    </xf>
    <xf numFmtId="49" fontId="3" fillId="0" borderId="24" xfId="1" applyNumberFormat="1" applyFill="1" applyBorder="1" applyAlignment="1">
      <alignment horizontal="left"/>
    </xf>
    <xf numFmtId="49" fontId="3" fillId="2" borderId="25" xfId="1" applyNumberFormat="1" applyBorder="1"/>
    <xf numFmtId="49" fontId="6" fillId="0" borderId="36" xfId="1" applyNumberFormat="1" applyFont="1" applyFill="1" applyBorder="1"/>
    <xf numFmtId="49" fontId="3" fillId="0" borderId="37" xfId="1" applyNumberFormat="1" applyFill="1" applyBorder="1"/>
    <xf numFmtId="49" fontId="3" fillId="2" borderId="38" xfId="1" applyNumberFormat="1" applyBorder="1"/>
    <xf numFmtId="49" fontId="3" fillId="2" borderId="33" xfId="1" applyNumberFormat="1" applyBorder="1"/>
    <xf numFmtId="49" fontId="3" fillId="0" borderId="39" xfId="1" applyNumberFormat="1" applyFill="1" applyBorder="1" applyAlignment="1">
      <alignment horizontal="left"/>
    </xf>
    <xf numFmtId="49" fontId="6" fillId="0" borderId="40" xfId="1" applyNumberFormat="1" applyFont="1" applyFill="1" applyBorder="1"/>
    <xf numFmtId="49" fontId="3" fillId="0" borderId="41" xfId="1" applyNumberFormat="1" applyFill="1" applyBorder="1"/>
    <xf numFmtId="49" fontId="3" fillId="2" borderId="42" xfId="1" applyNumberFormat="1" applyBorder="1"/>
    <xf numFmtId="49" fontId="3" fillId="0" borderId="19" xfId="1" applyNumberForma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4" borderId="11" xfId="0" applyNumberFormat="1" applyFont="1" applyFill="1" applyBorder="1" applyAlignment="1">
      <alignment horizontal="center"/>
    </xf>
    <xf numFmtId="49" fontId="1" fillId="4" borderId="12" xfId="0" applyNumberFormat="1" applyFont="1" applyFill="1" applyBorder="1" applyAlignment="1">
      <alignment horizontal="center"/>
    </xf>
    <xf numFmtId="49" fontId="6" fillId="0" borderId="15" xfId="1" applyNumberFormat="1" applyFont="1" applyFill="1" applyBorder="1" applyAlignment="1">
      <alignment horizontal="center" vertical="center"/>
    </xf>
    <xf numFmtId="49" fontId="1" fillId="0" borderId="3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17" fontId="6" fillId="5" borderId="10" xfId="1" applyNumberFormat="1" applyFont="1" applyFill="1" applyBorder="1" applyAlignment="1">
      <alignment horizontal="center" vertical="center"/>
    </xf>
    <xf numFmtId="14" fontId="8" fillId="6" borderId="11" xfId="1" applyNumberFormat="1" applyFont="1" applyFill="1" applyBorder="1" applyAlignment="1">
      <alignment horizontal="center" vertical="center"/>
    </xf>
    <xf numFmtId="14" fontId="11" fillId="0" borderId="11" xfId="0" applyNumberFormat="1" applyFont="1" applyBorder="1"/>
    <xf numFmtId="14" fontId="11" fillId="9" borderId="11" xfId="0" applyNumberFormat="1" applyFont="1" applyFill="1" applyBorder="1"/>
  </cellXfs>
  <cellStyles count="7">
    <cellStyle name="40% - Accent1" xfId="5" builtinId="31"/>
    <cellStyle name="60% - Accent1" xfId="6" builtinId="32"/>
    <cellStyle name="Accent4" xfId="3" builtinId="41"/>
    <cellStyle name="Bad" xfId="4" builtinId="27"/>
    <cellStyle name="Comma" xfId="2" builtinId="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"/>
  <sheetViews>
    <sheetView workbookViewId="0">
      <selection activeCell="A2" sqref="A1:XFD2"/>
    </sheetView>
  </sheetViews>
  <sheetFormatPr defaultRowHeight="14.4" x14ac:dyDescent="0.3"/>
  <cols>
    <col min="2" max="2" width="12.33203125" style="6" customWidth="1"/>
    <col min="3" max="3" width="12.109375" style="6" customWidth="1"/>
    <col min="4" max="7" width="9.109375" customWidth="1"/>
    <col min="8" max="8" width="10.109375" customWidth="1"/>
    <col min="9" max="10" width="9.109375" customWidth="1"/>
    <col min="23" max="23" width="10.6640625" style="4" customWidth="1"/>
    <col min="24" max="24" width="9.109375" style="4"/>
  </cols>
  <sheetData>
    <row r="1" spans="1:28" s="12" customFormat="1" ht="28.8" x14ac:dyDescent="0.3">
      <c r="A1" s="10" t="s">
        <v>0</v>
      </c>
      <c r="B1" s="10" t="s">
        <v>1</v>
      </c>
      <c r="C1" s="10" t="s">
        <v>2</v>
      </c>
      <c r="D1" s="23">
        <v>43800</v>
      </c>
      <c r="E1" s="23">
        <v>43831</v>
      </c>
      <c r="F1" s="23">
        <v>43862</v>
      </c>
      <c r="G1" s="23">
        <v>43891</v>
      </c>
      <c r="H1" s="11" t="s">
        <v>93</v>
      </c>
      <c r="I1" s="17" t="s">
        <v>94</v>
      </c>
      <c r="J1" s="15"/>
      <c r="K1" s="24">
        <v>43922</v>
      </c>
      <c r="L1" s="23">
        <v>43952</v>
      </c>
      <c r="M1" s="23">
        <v>43983</v>
      </c>
      <c r="N1" s="23">
        <v>44013</v>
      </c>
      <c r="O1" s="23">
        <v>44044</v>
      </c>
      <c r="P1" s="23">
        <v>44075</v>
      </c>
      <c r="Q1" s="23">
        <v>44105</v>
      </c>
      <c r="R1" s="23">
        <v>44136</v>
      </c>
      <c r="S1" s="23">
        <v>44166</v>
      </c>
      <c r="T1" s="23">
        <v>44197</v>
      </c>
      <c r="U1" s="23">
        <v>44228</v>
      </c>
      <c r="V1" s="40">
        <v>44256</v>
      </c>
      <c r="W1" s="266"/>
      <c r="X1" s="267"/>
      <c r="Y1" s="7"/>
      <c r="Z1" s="7"/>
      <c r="AA1" s="7"/>
      <c r="AB1" s="7"/>
    </row>
    <row r="2" spans="1:28" x14ac:dyDescent="0.3">
      <c r="A2" s="2">
        <v>1</v>
      </c>
      <c r="B2" s="18" t="s">
        <v>3</v>
      </c>
      <c r="C2" s="3" t="s">
        <v>4</v>
      </c>
      <c r="D2" s="25">
        <f t="shared" ref="D2:D15" si="0">6*31</f>
        <v>186</v>
      </c>
      <c r="E2" s="25">
        <f t="shared" ref="E2:E15" si="1">6.5*31</f>
        <v>201.5</v>
      </c>
      <c r="F2" s="25">
        <f t="shared" ref="F2:F15" si="2">7*28</f>
        <v>196</v>
      </c>
      <c r="G2" s="25">
        <f t="shared" ref="G2:G15" si="3">7*31</f>
        <v>217</v>
      </c>
      <c r="H2" s="25">
        <f>SUM(D2:G2)</f>
        <v>800.5</v>
      </c>
      <c r="I2" s="26">
        <f>H2/121</f>
        <v>6.615702479338843</v>
      </c>
      <c r="J2" s="16"/>
      <c r="K2" s="31">
        <f t="shared" ref="K2:K15" si="4">7*30</f>
        <v>210</v>
      </c>
      <c r="L2" s="25">
        <f t="shared" ref="L2:L15" si="5">6.5*31</f>
        <v>201.5</v>
      </c>
      <c r="M2" s="25">
        <f t="shared" ref="M2:M15" si="6">6*30</f>
        <v>180</v>
      </c>
      <c r="N2" s="25">
        <f t="shared" ref="N2:N15" si="7">5*31</f>
        <v>155</v>
      </c>
      <c r="O2" s="25">
        <f t="shared" ref="O2:O15" si="8">4.5*31</f>
        <v>139.5</v>
      </c>
      <c r="P2" s="25">
        <v>0</v>
      </c>
      <c r="Q2" s="25">
        <v>0</v>
      </c>
      <c r="R2" s="25">
        <f t="shared" ref="R2:R15" si="9">6*30</f>
        <v>180</v>
      </c>
      <c r="S2" s="25">
        <f t="shared" ref="S2:T15" si="10">6.5*31</f>
        <v>201.5</v>
      </c>
      <c r="T2" s="25">
        <f t="shared" si="10"/>
        <v>201.5</v>
      </c>
      <c r="U2" s="25">
        <f t="shared" ref="U2:U15" si="11">7*28</f>
        <v>196</v>
      </c>
      <c r="V2" s="25">
        <f t="shared" ref="V2:V15" si="12">7.5*31</f>
        <v>232.5</v>
      </c>
      <c r="W2" s="38">
        <f>SUM(K2:V2)</f>
        <v>1897.5</v>
      </c>
      <c r="X2" s="39">
        <f>W2/304</f>
        <v>6.2417763157894735</v>
      </c>
    </row>
    <row r="3" spans="1:28" x14ac:dyDescent="0.3">
      <c r="A3" s="2">
        <v>2</v>
      </c>
      <c r="B3" s="19" t="s">
        <v>5</v>
      </c>
      <c r="C3" s="3" t="s">
        <v>6</v>
      </c>
      <c r="D3" s="25">
        <f t="shared" si="0"/>
        <v>186</v>
      </c>
      <c r="E3" s="25">
        <f t="shared" si="1"/>
        <v>201.5</v>
      </c>
      <c r="F3" s="25">
        <f t="shared" si="2"/>
        <v>196</v>
      </c>
      <c r="G3" s="25">
        <f t="shared" si="3"/>
        <v>217</v>
      </c>
      <c r="H3" s="25">
        <f t="shared" ref="H3:H46" si="13">SUM(D3:G3)</f>
        <v>800.5</v>
      </c>
      <c r="I3" s="26">
        <f t="shared" ref="I3:I46" si="14">H3/121</f>
        <v>6.615702479338843</v>
      </c>
      <c r="J3" s="16"/>
      <c r="K3" s="31">
        <f t="shared" si="4"/>
        <v>210</v>
      </c>
      <c r="L3" s="25">
        <f t="shared" si="5"/>
        <v>201.5</v>
      </c>
      <c r="M3" s="25">
        <f t="shared" si="6"/>
        <v>180</v>
      </c>
      <c r="N3" s="25">
        <f t="shared" si="7"/>
        <v>155</v>
      </c>
      <c r="O3" s="25">
        <f t="shared" si="8"/>
        <v>139.5</v>
      </c>
      <c r="P3" s="25">
        <v>0</v>
      </c>
      <c r="Q3" s="25">
        <v>0</v>
      </c>
      <c r="R3" s="25">
        <f t="shared" si="9"/>
        <v>180</v>
      </c>
      <c r="S3" s="25">
        <f t="shared" si="10"/>
        <v>201.5</v>
      </c>
      <c r="T3" s="25">
        <f t="shared" si="10"/>
        <v>201.5</v>
      </c>
      <c r="U3" s="25">
        <f t="shared" si="11"/>
        <v>196</v>
      </c>
      <c r="V3" s="25">
        <f t="shared" si="12"/>
        <v>232.5</v>
      </c>
      <c r="W3" s="32">
        <f t="shared" ref="W3:W15" si="15">SUM(K3:V3)</f>
        <v>1897.5</v>
      </c>
      <c r="X3" s="33">
        <f t="shared" ref="X3:X15" si="16">W3/304</f>
        <v>6.2417763157894735</v>
      </c>
    </row>
    <row r="4" spans="1:28" x14ac:dyDescent="0.3">
      <c r="A4" s="2">
        <v>3</v>
      </c>
      <c r="B4" s="18" t="s">
        <v>7</v>
      </c>
      <c r="C4" s="3" t="s">
        <v>8</v>
      </c>
      <c r="D4" s="25">
        <f t="shared" si="0"/>
        <v>186</v>
      </c>
      <c r="E4" s="25">
        <f t="shared" si="1"/>
        <v>201.5</v>
      </c>
      <c r="F4" s="25">
        <f t="shared" si="2"/>
        <v>196</v>
      </c>
      <c r="G4" s="25">
        <f t="shared" si="3"/>
        <v>217</v>
      </c>
      <c r="H4" s="25">
        <f t="shared" si="13"/>
        <v>800.5</v>
      </c>
      <c r="I4" s="26">
        <f t="shared" si="14"/>
        <v>6.615702479338843</v>
      </c>
      <c r="J4" s="16"/>
      <c r="K4" s="31">
        <f t="shared" si="4"/>
        <v>210</v>
      </c>
      <c r="L4" s="25">
        <f t="shared" si="5"/>
        <v>201.5</v>
      </c>
      <c r="M4" s="25">
        <f t="shared" si="6"/>
        <v>180</v>
      </c>
      <c r="N4" s="25">
        <f t="shared" si="7"/>
        <v>155</v>
      </c>
      <c r="O4" s="25">
        <f t="shared" si="8"/>
        <v>139.5</v>
      </c>
      <c r="P4" s="25">
        <v>0</v>
      </c>
      <c r="Q4" s="25">
        <v>0</v>
      </c>
      <c r="R4" s="25">
        <f t="shared" si="9"/>
        <v>180</v>
      </c>
      <c r="S4" s="25">
        <f t="shared" si="10"/>
        <v>201.5</v>
      </c>
      <c r="T4" s="25">
        <f t="shared" si="10"/>
        <v>201.5</v>
      </c>
      <c r="U4" s="25">
        <f t="shared" si="11"/>
        <v>196</v>
      </c>
      <c r="V4" s="25">
        <f t="shared" si="12"/>
        <v>232.5</v>
      </c>
      <c r="W4" s="32">
        <f t="shared" si="15"/>
        <v>1897.5</v>
      </c>
      <c r="X4" s="33">
        <f t="shared" si="16"/>
        <v>6.2417763157894735</v>
      </c>
    </row>
    <row r="5" spans="1:28" x14ac:dyDescent="0.3">
      <c r="A5" s="2">
        <v>4</v>
      </c>
      <c r="B5" s="18" t="s">
        <v>9</v>
      </c>
      <c r="C5" s="3" t="s">
        <v>10</v>
      </c>
      <c r="D5" s="25">
        <f t="shared" si="0"/>
        <v>186</v>
      </c>
      <c r="E5" s="25">
        <f t="shared" si="1"/>
        <v>201.5</v>
      </c>
      <c r="F5" s="25">
        <f t="shared" si="2"/>
        <v>196</v>
      </c>
      <c r="G5" s="25">
        <f t="shared" si="3"/>
        <v>217</v>
      </c>
      <c r="H5" s="25">
        <f t="shared" si="13"/>
        <v>800.5</v>
      </c>
      <c r="I5" s="26">
        <f t="shared" si="14"/>
        <v>6.615702479338843</v>
      </c>
      <c r="J5" s="16"/>
      <c r="K5" s="31">
        <f t="shared" si="4"/>
        <v>210</v>
      </c>
      <c r="L5" s="25">
        <f t="shared" si="5"/>
        <v>201.5</v>
      </c>
      <c r="M5" s="25">
        <f t="shared" si="6"/>
        <v>180</v>
      </c>
      <c r="N5" s="25">
        <f t="shared" si="7"/>
        <v>155</v>
      </c>
      <c r="O5" s="25">
        <f t="shared" si="8"/>
        <v>139.5</v>
      </c>
      <c r="P5" s="25">
        <v>0</v>
      </c>
      <c r="Q5" s="25">
        <v>0</v>
      </c>
      <c r="R5" s="25">
        <f t="shared" si="9"/>
        <v>180</v>
      </c>
      <c r="S5" s="25">
        <f t="shared" si="10"/>
        <v>201.5</v>
      </c>
      <c r="T5" s="25">
        <f t="shared" si="10"/>
        <v>201.5</v>
      </c>
      <c r="U5" s="25">
        <f t="shared" si="11"/>
        <v>196</v>
      </c>
      <c r="V5" s="25">
        <f t="shared" si="12"/>
        <v>232.5</v>
      </c>
      <c r="W5" s="32">
        <f t="shared" si="15"/>
        <v>1897.5</v>
      </c>
      <c r="X5" s="33">
        <f t="shared" si="16"/>
        <v>6.2417763157894735</v>
      </c>
    </row>
    <row r="6" spans="1:28" x14ac:dyDescent="0.3">
      <c r="A6" s="2">
        <v>5</v>
      </c>
      <c r="B6" s="18" t="s">
        <v>11</v>
      </c>
      <c r="C6" s="3" t="s">
        <v>12</v>
      </c>
      <c r="D6" s="25">
        <f t="shared" si="0"/>
        <v>186</v>
      </c>
      <c r="E6" s="25">
        <f t="shared" si="1"/>
        <v>201.5</v>
      </c>
      <c r="F6" s="25">
        <f t="shared" si="2"/>
        <v>196</v>
      </c>
      <c r="G6" s="25">
        <f t="shared" si="3"/>
        <v>217</v>
      </c>
      <c r="H6" s="25">
        <f t="shared" si="13"/>
        <v>800.5</v>
      </c>
      <c r="I6" s="26">
        <f t="shared" si="14"/>
        <v>6.615702479338843</v>
      </c>
      <c r="J6" s="16"/>
      <c r="K6" s="31">
        <f t="shared" si="4"/>
        <v>210</v>
      </c>
      <c r="L6" s="25">
        <f t="shared" si="5"/>
        <v>201.5</v>
      </c>
      <c r="M6" s="25">
        <f t="shared" si="6"/>
        <v>180</v>
      </c>
      <c r="N6" s="25">
        <f t="shared" si="7"/>
        <v>155</v>
      </c>
      <c r="O6" s="25">
        <f t="shared" si="8"/>
        <v>139.5</v>
      </c>
      <c r="P6" s="25">
        <v>0</v>
      </c>
      <c r="Q6" s="25">
        <v>0</v>
      </c>
      <c r="R6" s="25">
        <f t="shared" si="9"/>
        <v>180</v>
      </c>
      <c r="S6" s="25">
        <f t="shared" si="10"/>
        <v>201.5</v>
      </c>
      <c r="T6" s="25">
        <f t="shared" si="10"/>
        <v>201.5</v>
      </c>
      <c r="U6" s="25">
        <f t="shared" si="11"/>
        <v>196</v>
      </c>
      <c r="V6" s="25">
        <f t="shared" si="12"/>
        <v>232.5</v>
      </c>
      <c r="W6" s="32">
        <f t="shared" si="15"/>
        <v>1897.5</v>
      </c>
      <c r="X6" s="33">
        <f t="shared" si="16"/>
        <v>6.2417763157894735</v>
      </c>
    </row>
    <row r="7" spans="1:28" x14ac:dyDescent="0.3">
      <c r="A7" s="2">
        <v>6</v>
      </c>
      <c r="B7" s="18" t="s">
        <v>14</v>
      </c>
      <c r="C7" s="3" t="s">
        <v>13</v>
      </c>
      <c r="D7" s="25">
        <f t="shared" si="0"/>
        <v>186</v>
      </c>
      <c r="E7" s="25">
        <f t="shared" si="1"/>
        <v>201.5</v>
      </c>
      <c r="F7" s="25">
        <f t="shared" si="2"/>
        <v>196</v>
      </c>
      <c r="G7" s="25">
        <f t="shared" si="3"/>
        <v>217</v>
      </c>
      <c r="H7" s="25">
        <f t="shared" si="13"/>
        <v>800.5</v>
      </c>
      <c r="I7" s="26">
        <f t="shared" si="14"/>
        <v>6.615702479338843</v>
      </c>
      <c r="J7" s="16"/>
      <c r="K7" s="31">
        <f t="shared" si="4"/>
        <v>210</v>
      </c>
      <c r="L7" s="25">
        <f t="shared" si="5"/>
        <v>201.5</v>
      </c>
      <c r="M7" s="25">
        <f t="shared" si="6"/>
        <v>180</v>
      </c>
      <c r="N7" s="25">
        <f t="shared" si="7"/>
        <v>155</v>
      </c>
      <c r="O7" s="25">
        <f t="shared" si="8"/>
        <v>139.5</v>
      </c>
      <c r="P7" s="25">
        <v>0</v>
      </c>
      <c r="Q7" s="25">
        <v>0</v>
      </c>
      <c r="R7" s="25">
        <f t="shared" si="9"/>
        <v>180</v>
      </c>
      <c r="S7" s="25">
        <f t="shared" si="10"/>
        <v>201.5</v>
      </c>
      <c r="T7" s="25">
        <f t="shared" si="10"/>
        <v>201.5</v>
      </c>
      <c r="U7" s="25">
        <f t="shared" si="11"/>
        <v>196</v>
      </c>
      <c r="V7" s="25">
        <f t="shared" si="12"/>
        <v>232.5</v>
      </c>
      <c r="W7" s="32">
        <f t="shared" si="15"/>
        <v>1897.5</v>
      </c>
      <c r="X7" s="33">
        <f t="shared" si="16"/>
        <v>6.2417763157894735</v>
      </c>
    </row>
    <row r="8" spans="1:28" x14ac:dyDescent="0.3">
      <c r="A8" s="2">
        <v>7</v>
      </c>
      <c r="B8" s="18" t="s">
        <v>15</v>
      </c>
      <c r="C8" s="3" t="s">
        <v>16</v>
      </c>
      <c r="D8" s="25">
        <f t="shared" si="0"/>
        <v>186</v>
      </c>
      <c r="E8" s="25">
        <f t="shared" si="1"/>
        <v>201.5</v>
      </c>
      <c r="F8" s="25">
        <f t="shared" si="2"/>
        <v>196</v>
      </c>
      <c r="G8" s="25">
        <f t="shared" si="3"/>
        <v>217</v>
      </c>
      <c r="H8" s="25">
        <f t="shared" si="13"/>
        <v>800.5</v>
      </c>
      <c r="I8" s="26">
        <f t="shared" si="14"/>
        <v>6.615702479338843</v>
      </c>
      <c r="J8" s="16"/>
      <c r="K8" s="31">
        <f t="shared" si="4"/>
        <v>210</v>
      </c>
      <c r="L8" s="25">
        <f t="shared" si="5"/>
        <v>201.5</v>
      </c>
      <c r="M8" s="25">
        <f t="shared" si="6"/>
        <v>180</v>
      </c>
      <c r="N8" s="25">
        <f t="shared" si="7"/>
        <v>155</v>
      </c>
      <c r="O8" s="25">
        <f t="shared" si="8"/>
        <v>139.5</v>
      </c>
      <c r="P8" s="25">
        <v>0</v>
      </c>
      <c r="Q8" s="25">
        <v>0</v>
      </c>
      <c r="R8" s="25">
        <f t="shared" si="9"/>
        <v>180</v>
      </c>
      <c r="S8" s="25">
        <f t="shared" si="10"/>
        <v>201.5</v>
      </c>
      <c r="T8" s="25">
        <f t="shared" si="10"/>
        <v>201.5</v>
      </c>
      <c r="U8" s="25">
        <f t="shared" si="11"/>
        <v>196</v>
      </c>
      <c r="V8" s="25">
        <f t="shared" si="12"/>
        <v>232.5</v>
      </c>
      <c r="W8" s="32">
        <f t="shared" si="15"/>
        <v>1897.5</v>
      </c>
      <c r="X8" s="33">
        <f t="shared" si="16"/>
        <v>6.2417763157894735</v>
      </c>
    </row>
    <row r="9" spans="1:28" x14ac:dyDescent="0.3">
      <c r="A9" s="2">
        <v>8</v>
      </c>
      <c r="B9" s="18" t="s">
        <v>17</v>
      </c>
      <c r="C9" s="3" t="s">
        <v>18</v>
      </c>
      <c r="D9" s="25">
        <f t="shared" si="0"/>
        <v>186</v>
      </c>
      <c r="E9" s="25">
        <f t="shared" si="1"/>
        <v>201.5</v>
      </c>
      <c r="F9" s="25">
        <f t="shared" si="2"/>
        <v>196</v>
      </c>
      <c r="G9" s="25">
        <f t="shared" si="3"/>
        <v>217</v>
      </c>
      <c r="H9" s="25">
        <f t="shared" si="13"/>
        <v>800.5</v>
      </c>
      <c r="I9" s="26">
        <f t="shared" si="14"/>
        <v>6.615702479338843</v>
      </c>
      <c r="J9" s="16"/>
      <c r="K9" s="31">
        <f t="shared" si="4"/>
        <v>210</v>
      </c>
      <c r="L9" s="25">
        <f t="shared" si="5"/>
        <v>201.5</v>
      </c>
      <c r="M9" s="25">
        <f t="shared" si="6"/>
        <v>180</v>
      </c>
      <c r="N9" s="25">
        <f t="shared" si="7"/>
        <v>155</v>
      </c>
      <c r="O9" s="25">
        <f t="shared" si="8"/>
        <v>139.5</v>
      </c>
      <c r="P9" s="25">
        <v>0</v>
      </c>
      <c r="Q9" s="25">
        <v>0</v>
      </c>
      <c r="R9" s="25">
        <f t="shared" si="9"/>
        <v>180</v>
      </c>
      <c r="S9" s="25">
        <f t="shared" si="10"/>
        <v>201.5</v>
      </c>
      <c r="T9" s="25">
        <f t="shared" si="10"/>
        <v>201.5</v>
      </c>
      <c r="U9" s="25">
        <f t="shared" si="11"/>
        <v>196</v>
      </c>
      <c r="V9" s="25">
        <f t="shared" si="12"/>
        <v>232.5</v>
      </c>
      <c r="W9" s="32">
        <f t="shared" si="15"/>
        <v>1897.5</v>
      </c>
      <c r="X9" s="33">
        <f t="shared" si="16"/>
        <v>6.2417763157894735</v>
      </c>
    </row>
    <row r="10" spans="1:28" x14ac:dyDescent="0.3">
      <c r="A10" s="2">
        <v>9</v>
      </c>
      <c r="B10" s="18" t="s">
        <v>19</v>
      </c>
      <c r="C10" s="3" t="s">
        <v>20</v>
      </c>
      <c r="D10" s="25">
        <f t="shared" si="0"/>
        <v>186</v>
      </c>
      <c r="E10" s="25">
        <f t="shared" si="1"/>
        <v>201.5</v>
      </c>
      <c r="F10" s="25">
        <f t="shared" si="2"/>
        <v>196</v>
      </c>
      <c r="G10" s="25">
        <f t="shared" si="3"/>
        <v>217</v>
      </c>
      <c r="H10" s="25">
        <f t="shared" si="13"/>
        <v>800.5</v>
      </c>
      <c r="I10" s="26">
        <f t="shared" si="14"/>
        <v>6.615702479338843</v>
      </c>
      <c r="J10" s="16"/>
      <c r="K10" s="31">
        <f t="shared" si="4"/>
        <v>210</v>
      </c>
      <c r="L10" s="25">
        <f t="shared" si="5"/>
        <v>201.5</v>
      </c>
      <c r="M10" s="25">
        <f t="shared" si="6"/>
        <v>180</v>
      </c>
      <c r="N10" s="25">
        <f t="shared" si="7"/>
        <v>155</v>
      </c>
      <c r="O10" s="25">
        <f t="shared" si="8"/>
        <v>139.5</v>
      </c>
      <c r="P10" s="25">
        <v>0</v>
      </c>
      <c r="Q10" s="25">
        <v>0</v>
      </c>
      <c r="R10" s="25">
        <f t="shared" si="9"/>
        <v>180</v>
      </c>
      <c r="S10" s="25">
        <f t="shared" si="10"/>
        <v>201.5</v>
      </c>
      <c r="T10" s="25">
        <f t="shared" si="10"/>
        <v>201.5</v>
      </c>
      <c r="U10" s="25">
        <f t="shared" si="11"/>
        <v>196</v>
      </c>
      <c r="V10" s="25">
        <f t="shared" si="12"/>
        <v>232.5</v>
      </c>
      <c r="W10" s="32">
        <f t="shared" si="15"/>
        <v>1897.5</v>
      </c>
      <c r="X10" s="33">
        <f t="shared" si="16"/>
        <v>6.2417763157894735</v>
      </c>
    </row>
    <row r="11" spans="1:28" x14ac:dyDescent="0.3">
      <c r="A11" s="2">
        <v>10</v>
      </c>
      <c r="B11" s="18" t="s">
        <v>21</v>
      </c>
      <c r="C11" s="3" t="s">
        <v>22</v>
      </c>
      <c r="D11" s="25">
        <f t="shared" si="0"/>
        <v>186</v>
      </c>
      <c r="E11" s="25">
        <f t="shared" si="1"/>
        <v>201.5</v>
      </c>
      <c r="F11" s="25">
        <f t="shared" si="2"/>
        <v>196</v>
      </c>
      <c r="G11" s="25">
        <f t="shared" si="3"/>
        <v>217</v>
      </c>
      <c r="H11" s="25">
        <f t="shared" si="13"/>
        <v>800.5</v>
      </c>
      <c r="I11" s="26">
        <f t="shared" si="14"/>
        <v>6.615702479338843</v>
      </c>
      <c r="J11" s="16"/>
      <c r="K11" s="31">
        <f t="shared" si="4"/>
        <v>210</v>
      </c>
      <c r="L11" s="25">
        <f t="shared" si="5"/>
        <v>201.5</v>
      </c>
      <c r="M11" s="25">
        <f t="shared" si="6"/>
        <v>180</v>
      </c>
      <c r="N11" s="25">
        <f t="shared" si="7"/>
        <v>155</v>
      </c>
      <c r="O11" s="25">
        <f t="shared" si="8"/>
        <v>139.5</v>
      </c>
      <c r="P11" s="25">
        <v>0</v>
      </c>
      <c r="Q11" s="25">
        <v>0</v>
      </c>
      <c r="R11" s="25">
        <f t="shared" si="9"/>
        <v>180</v>
      </c>
      <c r="S11" s="25">
        <f t="shared" si="10"/>
        <v>201.5</v>
      </c>
      <c r="T11" s="25">
        <f t="shared" si="10"/>
        <v>201.5</v>
      </c>
      <c r="U11" s="25">
        <f t="shared" si="11"/>
        <v>196</v>
      </c>
      <c r="V11" s="25">
        <f t="shared" si="12"/>
        <v>232.5</v>
      </c>
      <c r="W11" s="32">
        <f t="shared" si="15"/>
        <v>1897.5</v>
      </c>
      <c r="X11" s="33">
        <f t="shared" si="16"/>
        <v>6.2417763157894735</v>
      </c>
    </row>
    <row r="12" spans="1:28" x14ac:dyDescent="0.3">
      <c r="A12" s="2">
        <v>11</v>
      </c>
      <c r="B12" s="18" t="s">
        <v>23</v>
      </c>
      <c r="C12" s="3" t="s">
        <v>26</v>
      </c>
      <c r="D12" s="25">
        <f t="shared" si="0"/>
        <v>186</v>
      </c>
      <c r="E12" s="25">
        <f t="shared" si="1"/>
        <v>201.5</v>
      </c>
      <c r="F12" s="25">
        <f t="shared" si="2"/>
        <v>196</v>
      </c>
      <c r="G12" s="25">
        <f t="shared" si="3"/>
        <v>217</v>
      </c>
      <c r="H12" s="25">
        <f t="shared" si="13"/>
        <v>800.5</v>
      </c>
      <c r="I12" s="26">
        <f t="shared" si="14"/>
        <v>6.615702479338843</v>
      </c>
      <c r="J12" s="16"/>
      <c r="K12" s="31">
        <f t="shared" si="4"/>
        <v>210</v>
      </c>
      <c r="L12" s="25">
        <f t="shared" si="5"/>
        <v>201.5</v>
      </c>
      <c r="M12" s="25">
        <f t="shared" si="6"/>
        <v>180</v>
      </c>
      <c r="N12" s="25">
        <f t="shared" si="7"/>
        <v>155</v>
      </c>
      <c r="O12" s="25">
        <f t="shared" si="8"/>
        <v>139.5</v>
      </c>
      <c r="P12" s="25">
        <v>0</v>
      </c>
      <c r="Q12" s="25">
        <v>0</v>
      </c>
      <c r="R12" s="25">
        <f t="shared" si="9"/>
        <v>180</v>
      </c>
      <c r="S12" s="25">
        <f t="shared" si="10"/>
        <v>201.5</v>
      </c>
      <c r="T12" s="25">
        <f t="shared" si="10"/>
        <v>201.5</v>
      </c>
      <c r="U12" s="25">
        <f t="shared" si="11"/>
        <v>196</v>
      </c>
      <c r="V12" s="25">
        <f t="shared" si="12"/>
        <v>232.5</v>
      </c>
      <c r="W12" s="32">
        <f t="shared" si="15"/>
        <v>1897.5</v>
      </c>
      <c r="X12" s="33">
        <f t="shared" si="16"/>
        <v>6.2417763157894735</v>
      </c>
    </row>
    <row r="13" spans="1:28" x14ac:dyDescent="0.3">
      <c r="A13" s="2">
        <v>12</v>
      </c>
      <c r="B13" s="18" t="s">
        <v>24</v>
      </c>
      <c r="C13" s="3" t="s">
        <v>25</v>
      </c>
      <c r="D13" s="25">
        <f t="shared" si="0"/>
        <v>186</v>
      </c>
      <c r="E13" s="25">
        <f t="shared" si="1"/>
        <v>201.5</v>
      </c>
      <c r="F13" s="25">
        <f t="shared" si="2"/>
        <v>196</v>
      </c>
      <c r="G13" s="25">
        <f t="shared" si="3"/>
        <v>217</v>
      </c>
      <c r="H13" s="25">
        <f t="shared" si="13"/>
        <v>800.5</v>
      </c>
      <c r="I13" s="26">
        <f t="shared" si="14"/>
        <v>6.615702479338843</v>
      </c>
      <c r="J13" s="16"/>
      <c r="K13" s="31">
        <f t="shared" si="4"/>
        <v>210</v>
      </c>
      <c r="L13" s="25">
        <f t="shared" si="5"/>
        <v>201.5</v>
      </c>
      <c r="M13" s="25">
        <f t="shared" si="6"/>
        <v>180</v>
      </c>
      <c r="N13" s="25">
        <f t="shared" si="7"/>
        <v>155</v>
      </c>
      <c r="O13" s="25">
        <f t="shared" si="8"/>
        <v>139.5</v>
      </c>
      <c r="P13" s="25">
        <v>0</v>
      </c>
      <c r="Q13" s="25">
        <v>0</v>
      </c>
      <c r="R13" s="25">
        <f t="shared" si="9"/>
        <v>180</v>
      </c>
      <c r="S13" s="25">
        <f t="shared" si="10"/>
        <v>201.5</v>
      </c>
      <c r="T13" s="25">
        <f t="shared" si="10"/>
        <v>201.5</v>
      </c>
      <c r="U13" s="25">
        <f t="shared" si="11"/>
        <v>196</v>
      </c>
      <c r="V13" s="25">
        <f t="shared" si="12"/>
        <v>232.5</v>
      </c>
      <c r="W13" s="32">
        <f t="shared" si="15"/>
        <v>1897.5</v>
      </c>
      <c r="X13" s="33">
        <f t="shared" si="16"/>
        <v>6.2417763157894735</v>
      </c>
    </row>
    <row r="14" spans="1:28" x14ac:dyDescent="0.3">
      <c r="A14" s="2">
        <v>13</v>
      </c>
      <c r="B14" s="18" t="s">
        <v>27</v>
      </c>
      <c r="C14" s="3" t="s">
        <v>28</v>
      </c>
      <c r="D14" s="25">
        <f t="shared" si="0"/>
        <v>186</v>
      </c>
      <c r="E14" s="25">
        <f t="shared" si="1"/>
        <v>201.5</v>
      </c>
      <c r="F14" s="25">
        <f t="shared" si="2"/>
        <v>196</v>
      </c>
      <c r="G14" s="25">
        <f t="shared" si="3"/>
        <v>217</v>
      </c>
      <c r="H14" s="25">
        <f t="shared" si="13"/>
        <v>800.5</v>
      </c>
      <c r="I14" s="26">
        <f t="shared" si="14"/>
        <v>6.615702479338843</v>
      </c>
      <c r="J14" s="16"/>
      <c r="K14" s="31">
        <f t="shared" si="4"/>
        <v>210</v>
      </c>
      <c r="L14" s="25">
        <f t="shared" si="5"/>
        <v>201.5</v>
      </c>
      <c r="M14" s="25">
        <f t="shared" si="6"/>
        <v>180</v>
      </c>
      <c r="N14" s="25">
        <f t="shared" si="7"/>
        <v>155</v>
      </c>
      <c r="O14" s="25">
        <f t="shared" si="8"/>
        <v>139.5</v>
      </c>
      <c r="P14" s="25">
        <v>0</v>
      </c>
      <c r="Q14" s="25">
        <v>0</v>
      </c>
      <c r="R14" s="25">
        <f t="shared" si="9"/>
        <v>180</v>
      </c>
      <c r="S14" s="25">
        <f t="shared" si="10"/>
        <v>201.5</v>
      </c>
      <c r="T14" s="25">
        <f t="shared" si="10"/>
        <v>201.5</v>
      </c>
      <c r="U14" s="25">
        <f t="shared" si="11"/>
        <v>196</v>
      </c>
      <c r="V14" s="25">
        <f t="shared" si="12"/>
        <v>232.5</v>
      </c>
      <c r="W14" s="32">
        <f t="shared" si="15"/>
        <v>1897.5</v>
      </c>
      <c r="X14" s="33">
        <f t="shared" si="16"/>
        <v>6.2417763157894735</v>
      </c>
    </row>
    <row r="15" spans="1:28" ht="15" thickBot="1" x14ac:dyDescent="0.35">
      <c r="A15" s="13">
        <v>14</v>
      </c>
      <c r="B15" s="20" t="s">
        <v>29</v>
      </c>
      <c r="C15" s="14" t="s">
        <v>30</v>
      </c>
      <c r="D15" s="27">
        <f t="shared" si="0"/>
        <v>186</v>
      </c>
      <c r="E15" s="27">
        <f t="shared" si="1"/>
        <v>201.5</v>
      </c>
      <c r="F15" s="27">
        <f t="shared" si="2"/>
        <v>196</v>
      </c>
      <c r="G15" s="27">
        <f t="shared" si="3"/>
        <v>217</v>
      </c>
      <c r="H15" s="27">
        <f t="shared" si="13"/>
        <v>800.5</v>
      </c>
      <c r="I15" s="28">
        <f t="shared" si="14"/>
        <v>6.615702479338843</v>
      </c>
      <c r="J15" s="16"/>
      <c r="K15" s="34">
        <f t="shared" si="4"/>
        <v>210</v>
      </c>
      <c r="L15" s="27">
        <f t="shared" si="5"/>
        <v>201.5</v>
      </c>
      <c r="M15" s="27">
        <f t="shared" si="6"/>
        <v>180</v>
      </c>
      <c r="N15" s="27">
        <f t="shared" si="7"/>
        <v>155</v>
      </c>
      <c r="O15" s="27">
        <f t="shared" si="8"/>
        <v>139.5</v>
      </c>
      <c r="P15" s="27">
        <v>0</v>
      </c>
      <c r="Q15" s="27">
        <v>0</v>
      </c>
      <c r="R15" s="27">
        <f t="shared" si="9"/>
        <v>180</v>
      </c>
      <c r="S15" s="27">
        <f t="shared" si="10"/>
        <v>201.5</v>
      </c>
      <c r="T15" s="27">
        <f t="shared" si="10"/>
        <v>201.5</v>
      </c>
      <c r="U15" s="27">
        <f t="shared" si="11"/>
        <v>196</v>
      </c>
      <c r="V15" s="27">
        <f t="shared" si="12"/>
        <v>232.5</v>
      </c>
      <c r="W15" s="35">
        <f t="shared" si="15"/>
        <v>1897.5</v>
      </c>
      <c r="X15" s="36">
        <f t="shared" si="16"/>
        <v>6.2417763157894735</v>
      </c>
    </row>
    <row r="16" spans="1:28" x14ac:dyDescent="0.3">
      <c r="A16" s="8">
        <v>15</v>
      </c>
      <c r="B16" s="21" t="s">
        <v>31</v>
      </c>
      <c r="C16" s="9" t="s">
        <v>32</v>
      </c>
      <c r="D16" s="29">
        <v>0</v>
      </c>
      <c r="E16" s="29">
        <f t="shared" ref="E16:E21" si="17">6*31</f>
        <v>186</v>
      </c>
      <c r="F16" s="29">
        <f t="shared" ref="F16:F21" si="18">6.5*31</f>
        <v>201.5</v>
      </c>
      <c r="G16" s="29">
        <f t="shared" ref="G16:G21" si="19">7*28</f>
        <v>196</v>
      </c>
      <c r="H16" s="29">
        <f t="shared" si="13"/>
        <v>583.5</v>
      </c>
      <c r="I16" s="30">
        <f t="shared" si="14"/>
        <v>4.8223140495867769</v>
      </c>
      <c r="J16" s="16"/>
      <c r="K16" s="37">
        <f t="shared" ref="K16:K21" si="20">7*31</f>
        <v>217</v>
      </c>
      <c r="L16" s="29">
        <f t="shared" ref="L16:L21" si="21">7*30</f>
        <v>210</v>
      </c>
      <c r="M16" s="29">
        <f t="shared" ref="M16:M21" si="22">6.5*31</f>
        <v>201.5</v>
      </c>
      <c r="N16" s="29">
        <f t="shared" ref="N16:N21" si="23">6*30</f>
        <v>180</v>
      </c>
      <c r="O16" s="29">
        <f t="shared" ref="O16:O21" si="24">5*31</f>
        <v>155</v>
      </c>
      <c r="P16" s="29">
        <f t="shared" ref="P16:P21" si="25">4.5*31</f>
        <v>139.5</v>
      </c>
      <c r="Q16" s="29">
        <v>0</v>
      </c>
      <c r="R16" s="29">
        <v>0</v>
      </c>
      <c r="S16" s="29">
        <f t="shared" ref="S16:S21" si="26">6*30</f>
        <v>180</v>
      </c>
      <c r="T16" s="29">
        <f t="shared" ref="T16:U21" si="27">6.5*31</f>
        <v>201.5</v>
      </c>
      <c r="U16" s="29">
        <f t="shared" si="27"/>
        <v>201.5</v>
      </c>
      <c r="V16" s="29">
        <f t="shared" ref="V16:V21" si="28">7*28</f>
        <v>196</v>
      </c>
      <c r="W16" s="38">
        <f t="shared" ref="W16:W46" si="29">SUM(K16:V16)</f>
        <v>1882</v>
      </c>
      <c r="X16" s="39">
        <f t="shared" ref="X16:X44" si="30">W16/356</f>
        <v>5.286516853932584</v>
      </c>
    </row>
    <row r="17" spans="1:24" x14ac:dyDescent="0.3">
      <c r="A17" s="2">
        <v>16</v>
      </c>
      <c r="B17" s="18" t="s">
        <v>33</v>
      </c>
      <c r="C17" s="3" t="s">
        <v>34</v>
      </c>
      <c r="D17" s="25">
        <v>0</v>
      </c>
      <c r="E17" s="25">
        <f t="shared" si="17"/>
        <v>186</v>
      </c>
      <c r="F17" s="25">
        <f t="shared" si="18"/>
        <v>201.5</v>
      </c>
      <c r="G17" s="25">
        <f t="shared" si="19"/>
        <v>196</v>
      </c>
      <c r="H17" s="25">
        <f t="shared" si="13"/>
        <v>583.5</v>
      </c>
      <c r="I17" s="26">
        <f t="shared" si="14"/>
        <v>4.8223140495867769</v>
      </c>
      <c r="J17" s="16"/>
      <c r="K17" s="31">
        <f t="shared" si="20"/>
        <v>217</v>
      </c>
      <c r="L17" s="25">
        <f t="shared" si="21"/>
        <v>210</v>
      </c>
      <c r="M17" s="25">
        <f t="shared" si="22"/>
        <v>201.5</v>
      </c>
      <c r="N17" s="25">
        <f t="shared" si="23"/>
        <v>180</v>
      </c>
      <c r="O17" s="25">
        <f t="shared" si="24"/>
        <v>155</v>
      </c>
      <c r="P17" s="25">
        <f t="shared" si="25"/>
        <v>139.5</v>
      </c>
      <c r="Q17" s="25">
        <v>0</v>
      </c>
      <c r="R17" s="25">
        <v>0</v>
      </c>
      <c r="S17" s="25">
        <f t="shared" si="26"/>
        <v>180</v>
      </c>
      <c r="T17" s="25">
        <f t="shared" si="27"/>
        <v>201.5</v>
      </c>
      <c r="U17" s="25">
        <f t="shared" si="27"/>
        <v>201.5</v>
      </c>
      <c r="V17" s="25">
        <f t="shared" si="28"/>
        <v>196</v>
      </c>
      <c r="W17" s="32">
        <f t="shared" si="29"/>
        <v>1882</v>
      </c>
      <c r="X17" s="33">
        <f t="shared" si="30"/>
        <v>5.286516853932584</v>
      </c>
    </row>
    <row r="18" spans="1:24" x14ac:dyDescent="0.3">
      <c r="A18" s="2">
        <v>17</v>
      </c>
      <c r="B18" s="18" t="s">
        <v>35</v>
      </c>
      <c r="C18" s="3" t="s">
        <v>36</v>
      </c>
      <c r="D18" s="25">
        <v>0</v>
      </c>
      <c r="E18" s="25">
        <f t="shared" si="17"/>
        <v>186</v>
      </c>
      <c r="F18" s="25">
        <f t="shared" si="18"/>
        <v>201.5</v>
      </c>
      <c r="G18" s="25">
        <f t="shared" si="19"/>
        <v>196</v>
      </c>
      <c r="H18" s="25">
        <f t="shared" si="13"/>
        <v>583.5</v>
      </c>
      <c r="I18" s="26">
        <f t="shared" si="14"/>
        <v>4.8223140495867769</v>
      </c>
      <c r="J18" s="16"/>
      <c r="K18" s="31">
        <f t="shared" si="20"/>
        <v>217</v>
      </c>
      <c r="L18" s="25">
        <f t="shared" si="21"/>
        <v>210</v>
      </c>
      <c r="M18" s="25">
        <f t="shared" si="22"/>
        <v>201.5</v>
      </c>
      <c r="N18" s="25">
        <f t="shared" si="23"/>
        <v>180</v>
      </c>
      <c r="O18" s="25">
        <f t="shared" si="24"/>
        <v>155</v>
      </c>
      <c r="P18" s="25">
        <f t="shared" si="25"/>
        <v>139.5</v>
      </c>
      <c r="Q18" s="25">
        <v>0</v>
      </c>
      <c r="R18" s="25">
        <v>0</v>
      </c>
      <c r="S18" s="25">
        <f t="shared" si="26"/>
        <v>180</v>
      </c>
      <c r="T18" s="25">
        <f t="shared" si="27"/>
        <v>201.5</v>
      </c>
      <c r="U18" s="25">
        <f t="shared" si="27"/>
        <v>201.5</v>
      </c>
      <c r="V18" s="25">
        <f t="shared" si="28"/>
        <v>196</v>
      </c>
      <c r="W18" s="32">
        <f t="shared" si="29"/>
        <v>1882</v>
      </c>
      <c r="X18" s="33">
        <f t="shared" si="30"/>
        <v>5.286516853932584</v>
      </c>
    </row>
    <row r="19" spans="1:24" x14ac:dyDescent="0.3">
      <c r="A19" s="2">
        <v>18</v>
      </c>
      <c r="B19" s="18" t="s">
        <v>37</v>
      </c>
      <c r="C19" s="3" t="s">
        <v>38</v>
      </c>
      <c r="D19" s="25">
        <v>0</v>
      </c>
      <c r="E19" s="25">
        <f t="shared" si="17"/>
        <v>186</v>
      </c>
      <c r="F19" s="25">
        <f t="shared" si="18"/>
        <v>201.5</v>
      </c>
      <c r="G19" s="25">
        <f t="shared" si="19"/>
        <v>196</v>
      </c>
      <c r="H19" s="25">
        <f t="shared" si="13"/>
        <v>583.5</v>
      </c>
      <c r="I19" s="26">
        <f t="shared" si="14"/>
        <v>4.8223140495867769</v>
      </c>
      <c r="J19" s="16"/>
      <c r="K19" s="31">
        <f t="shared" si="20"/>
        <v>217</v>
      </c>
      <c r="L19" s="25">
        <f t="shared" si="21"/>
        <v>210</v>
      </c>
      <c r="M19" s="25">
        <f t="shared" si="22"/>
        <v>201.5</v>
      </c>
      <c r="N19" s="25">
        <f t="shared" si="23"/>
        <v>180</v>
      </c>
      <c r="O19" s="25">
        <f t="shared" si="24"/>
        <v>155</v>
      </c>
      <c r="P19" s="25">
        <f t="shared" si="25"/>
        <v>139.5</v>
      </c>
      <c r="Q19" s="25">
        <v>0</v>
      </c>
      <c r="R19" s="25">
        <v>0</v>
      </c>
      <c r="S19" s="25">
        <f t="shared" si="26"/>
        <v>180</v>
      </c>
      <c r="T19" s="25">
        <f t="shared" si="27"/>
        <v>201.5</v>
      </c>
      <c r="U19" s="25">
        <f t="shared" si="27"/>
        <v>201.5</v>
      </c>
      <c r="V19" s="25">
        <f t="shared" si="28"/>
        <v>196</v>
      </c>
      <c r="W19" s="32">
        <f t="shared" si="29"/>
        <v>1882</v>
      </c>
      <c r="X19" s="33">
        <f t="shared" si="30"/>
        <v>5.286516853932584</v>
      </c>
    </row>
    <row r="20" spans="1:24" x14ac:dyDescent="0.3">
      <c r="A20" s="2">
        <v>19</v>
      </c>
      <c r="B20" s="18" t="s">
        <v>39</v>
      </c>
      <c r="C20" s="3" t="s">
        <v>40</v>
      </c>
      <c r="D20" s="25">
        <v>0</v>
      </c>
      <c r="E20" s="25">
        <f t="shared" si="17"/>
        <v>186</v>
      </c>
      <c r="F20" s="25">
        <f t="shared" si="18"/>
        <v>201.5</v>
      </c>
      <c r="G20" s="25">
        <f t="shared" si="19"/>
        <v>196</v>
      </c>
      <c r="H20" s="25">
        <f t="shared" si="13"/>
        <v>583.5</v>
      </c>
      <c r="I20" s="26">
        <f t="shared" si="14"/>
        <v>4.8223140495867769</v>
      </c>
      <c r="J20" s="16"/>
      <c r="K20" s="31">
        <f t="shared" si="20"/>
        <v>217</v>
      </c>
      <c r="L20" s="25">
        <f t="shared" si="21"/>
        <v>210</v>
      </c>
      <c r="M20" s="25">
        <f t="shared" si="22"/>
        <v>201.5</v>
      </c>
      <c r="N20" s="25">
        <f t="shared" si="23"/>
        <v>180</v>
      </c>
      <c r="O20" s="25">
        <f t="shared" si="24"/>
        <v>155</v>
      </c>
      <c r="P20" s="25">
        <f t="shared" si="25"/>
        <v>139.5</v>
      </c>
      <c r="Q20" s="25">
        <v>0</v>
      </c>
      <c r="R20" s="25">
        <v>0</v>
      </c>
      <c r="S20" s="25">
        <f t="shared" si="26"/>
        <v>180</v>
      </c>
      <c r="T20" s="25">
        <f t="shared" si="27"/>
        <v>201.5</v>
      </c>
      <c r="U20" s="25">
        <f t="shared" si="27"/>
        <v>201.5</v>
      </c>
      <c r="V20" s="25">
        <f t="shared" si="28"/>
        <v>196</v>
      </c>
      <c r="W20" s="32">
        <f t="shared" si="29"/>
        <v>1882</v>
      </c>
      <c r="X20" s="33">
        <f t="shared" si="30"/>
        <v>5.286516853932584</v>
      </c>
    </row>
    <row r="21" spans="1:24" ht="15" thickBot="1" x14ac:dyDescent="0.35">
      <c r="A21" s="13">
        <v>20</v>
      </c>
      <c r="B21" s="20" t="s">
        <v>41</v>
      </c>
      <c r="C21" s="14" t="s">
        <v>42</v>
      </c>
      <c r="D21" s="27">
        <v>0</v>
      </c>
      <c r="E21" s="27">
        <f t="shared" si="17"/>
        <v>186</v>
      </c>
      <c r="F21" s="27">
        <f t="shared" si="18"/>
        <v>201.5</v>
      </c>
      <c r="G21" s="27">
        <f t="shared" si="19"/>
        <v>196</v>
      </c>
      <c r="H21" s="27">
        <f t="shared" si="13"/>
        <v>583.5</v>
      </c>
      <c r="I21" s="28">
        <f t="shared" si="14"/>
        <v>4.8223140495867769</v>
      </c>
      <c r="J21" s="16"/>
      <c r="K21" s="34">
        <f t="shared" si="20"/>
        <v>217</v>
      </c>
      <c r="L21" s="27">
        <f t="shared" si="21"/>
        <v>210</v>
      </c>
      <c r="M21" s="27">
        <f t="shared" si="22"/>
        <v>201.5</v>
      </c>
      <c r="N21" s="27">
        <f t="shared" si="23"/>
        <v>180</v>
      </c>
      <c r="O21" s="27">
        <f t="shared" si="24"/>
        <v>155</v>
      </c>
      <c r="P21" s="27">
        <f t="shared" si="25"/>
        <v>139.5</v>
      </c>
      <c r="Q21" s="27">
        <v>0</v>
      </c>
      <c r="R21" s="27">
        <v>0</v>
      </c>
      <c r="S21" s="27">
        <f t="shared" si="26"/>
        <v>180</v>
      </c>
      <c r="T21" s="27">
        <f t="shared" si="27"/>
        <v>201.5</v>
      </c>
      <c r="U21" s="27">
        <f t="shared" si="27"/>
        <v>201.5</v>
      </c>
      <c r="V21" s="27">
        <f t="shared" si="28"/>
        <v>196</v>
      </c>
      <c r="W21" s="35">
        <f t="shared" si="29"/>
        <v>1882</v>
      </c>
      <c r="X21" s="36">
        <f t="shared" si="30"/>
        <v>5.286516853932584</v>
      </c>
    </row>
    <row r="22" spans="1:24" x14ac:dyDescent="0.3">
      <c r="A22" s="8">
        <v>21</v>
      </c>
      <c r="B22" s="21" t="s">
        <v>43</v>
      </c>
      <c r="C22" s="9" t="s">
        <v>44</v>
      </c>
      <c r="D22" s="29">
        <v>0</v>
      </c>
      <c r="E22" s="29">
        <v>0</v>
      </c>
      <c r="F22" s="29">
        <f>6*31</f>
        <v>186</v>
      </c>
      <c r="G22" s="29">
        <f>6.5*31</f>
        <v>201.5</v>
      </c>
      <c r="H22" s="29">
        <f t="shared" si="13"/>
        <v>387.5</v>
      </c>
      <c r="I22" s="30">
        <f t="shared" si="14"/>
        <v>3.2024793388429753</v>
      </c>
      <c r="J22" s="16"/>
      <c r="K22" s="37">
        <f>7*28</f>
        <v>196</v>
      </c>
      <c r="L22" s="29">
        <f>7*31</f>
        <v>217</v>
      </c>
      <c r="M22" s="29">
        <f>7*30</f>
        <v>210</v>
      </c>
      <c r="N22" s="29">
        <f>6.5*31</f>
        <v>201.5</v>
      </c>
      <c r="O22" s="29">
        <f>6*30</f>
        <v>180</v>
      </c>
      <c r="P22" s="29">
        <f>5*31</f>
        <v>155</v>
      </c>
      <c r="Q22" s="29">
        <f>4.5*31</f>
        <v>139.5</v>
      </c>
      <c r="R22" s="29">
        <v>0</v>
      </c>
      <c r="S22" s="29">
        <v>0</v>
      </c>
      <c r="T22" s="29">
        <f>6*30</f>
        <v>180</v>
      </c>
      <c r="U22" s="29">
        <f t="shared" ref="U22:V25" si="31">6.5*31</f>
        <v>201.5</v>
      </c>
      <c r="V22" s="29">
        <f t="shared" si="31"/>
        <v>201.5</v>
      </c>
      <c r="W22" s="38">
        <f t="shared" si="29"/>
        <v>1882</v>
      </c>
      <c r="X22" s="39">
        <f t="shared" si="30"/>
        <v>5.286516853932584</v>
      </c>
    </row>
    <row r="23" spans="1:24" x14ac:dyDescent="0.3">
      <c r="A23" s="2">
        <v>22</v>
      </c>
      <c r="B23" s="18" t="s">
        <v>45</v>
      </c>
      <c r="C23" s="3" t="s">
        <v>46</v>
      </c>
      <c r="D23" s="25">
        <v>0</v>
      </c>
      <c r="E23" s="25">
        <v>0</v>
      </c>
      <c r="F23" s="25">
        <f>6*31</f>
        <v>186</v>
      </c>
      <c r="G23" s="25">
        <f>6.5*31</f>
        <v>201.5</v>
      </c>
      <c r="H23" s="25">
        <f t="shared" si="13"/>
        <v>387.5</v>
      </c>
      <c r="I23" s="26">
        <f t="shared" si="14"/>
        <v>3.2024793388429753</v>
      </c>
      <c r="J23" s="16"/>
      <c r="K23" s="31">
        <f>7*28</f>
        <v>196</v>
      </c>
      <c r="L23" s="25">
        <f>7*31</f>
        <v>217</v>
      </c>
      <c r="M23" s="25">
        <f>7*30</f>
        <v>210</v>
      </c>
      <c r="N23" s="25">
        <f>6.5*31</f>
        <v>201.5</v>
      </c>
      <c r="O23" s="25">
        <f>6*30</f>
        <v>180</v>
      </c>
      <c r="P23" s="25">
        <f>5*31</f>
        <v>155</v>
      </c>
      <c r="Q23" s="25">
        <f>4.5*31</f>
        <v>139.5</v>
      </c>
      <c r="R23" s="25">
        <v>0</v>
      </c>
      <c r="S23" s="25">
        <v>0</v>
      </c>
      <c r="T23" s="25">
        <f>6*30</f>
        <v>180</v>
      </c>
      <c r="U23" s="25">
        <f t="shared" si="31"/>
        <v>201.5</v>
      </c>
      <c r="V23" s="25">
        <f t="shared" si="31"/>
        <v>201.5</v>
      </c>
      <c r="W23" s="32">
        <f t="shared" si="29"/>
        <v>1882</v>
      </c>
      <c r="X23" s="33">
        <f t="shared" si="30"/>
        <v>5.286516853932584</v>
      </c>
    </row>
    <row r="24" spans="1:24" x14ac:dyDescent="0.3">
      <c r="A24" s="2">
        <v>23</v>
      </c>
      <c r="B24" s="18" t="s">
        <v>47</v>
      </c>
      <c r="C24" s="3" t="s">
        <v>48</v>
      </c>
      <c r="D24" s="25">
        <v>0</v>
      </c>
      <c r="E24" s="25">
        <v>0</v>
      </c>
      <c r="F24" s="25">
        <f>6*31</f>
        <v>186</v>
      </c>
      <c r="G24" s="25">
        <f>6.5*31</f>
        <v>201.5</v>
      </c>
      <c r="H24" s="25">
        <f t="shared" si="13"/>
        <v>387.5</v>
      </c>
      <c r="I24" s="26">
        <f t="shared" si="14"/>
        <v>3.2024793388429753</v>
      </c>
      <c r="J24" s="16"/>
      <c r="K24" s="31">
        <f>7*28</f>
        <v>196</v>
      </c>
      <c r="L24" s="25">
        <f>7*31</f>
        <v>217</v>
      </c>
      <c r="M24" s="25">
        <f>7*30</f>
        <v>210</v>
      </c>
      <c r="N24" s="25">
        <f>6.5*31</f>
        <v>201.5</v>
      </c>
      <c r="O24" s="25">
        <f>6*30</f>
        <v>180</v>
      </c>
      <c r="P24" s="25">
        <f>5*31</f>
        <v>155</v>
      </c>
      <c r="Q24" s="25">
        <f>4.5*31</f>
        <v>139.5</v>
      </c>
      <c r="R24" s="25">
        <v>0</v>
      </c>
      <c r="S24" s="25">
        <v>0</v>
      </c>
      <c r="T24" s="25">
        <f>6*30</f>
        <v>180</v>
      </c>
      <c r="U24" s="25">
        <f t="shared" si="31"/>
        <v>201.5</v>
      </c>
      <c r="V24" s="25">
        <f t="shared" si="31"/>
        <v>201.5</v>
      </c>
      <c r="W24" s="32">
        <f t="shared" si="29"/>
        <v>1882</v>
      </c>
      <c r="X24" s="33">
        <f t="shared" si="30"/>
        <v>5.286516853932584</v>
      </c>
    </row>
    <row r="25" spans="1:24" ht="15" thickBot="1" x14ac:dyDescent="0.35">
      <c r="A25" s="13">
        <v>24</v>
      </c>
      <c r="B25" s="20" t="s">
        <v>49</v>
      </c>
      <c r="C25" s="14" t="s">
        <v>52</v>
      </c>
      <c r="D25" s="27">
        <v>0</v>
      </c>
      <c r="E25" s="27">
        <v>0</v>
      </c>
      <c r="F25" s="27">
        <f>6*31</f>
        <v>186</v>
      </c>
      <c r="G25" s="27">
        <f>6.5*31</f>
        <v>201.5</v>
      </c>
      <c r="H25" s="27">
        <f t="shared" si="13"/>
        <v>387.5</v>
      </c>
      <c r="I25" s="28">
        <f t="shared" si="14"/>
        <v>3.2024793388429753</v>
      </c>
      <c r="J25" s="16"/>
      <c r="K25" s="34">
        <f>7*28</f>
        <v>196</v>
      </c>
      <c r="L25" s="27">
        <f>7*31</f>
        <v>217</v>
      </c>
      <c r="M25" s="27">
        <f>7*30</f>
        <v>210</v>
      </c>
      <c r="N25" s="27">
        <f>6.5*31</f>
        <v>201.5</v>
      </c>
      <c r="O25" s="27">
        <f>6*30</f>
        <v>180</v>
      </c>
      <c r="P25" s="27">
        <f>5*31</f>
        <v>155</v>
      </c>
      <c r="Q25" s="27">
        <f>4.5*31</f>
        <v>139.5</v>
      </c>
      <c r="R25" s="27">
        <v>0</v>
      </c>
      <c r="S25" s="27">
        <v>0</v>
      </c>
      <c r="T25" s="27">
        <f>6*30</f>
        <v>180</v>
      </c>
      <c r="U25" s="27">
        <f t="shared" si="31"/>
        <v>201.5</v>
      </c>
      <c r="V25" s="27">
        <f t="shared" si="31"/>
        <v>201.5</v>
      </c>
      <c r="W25" s="35">
        <f t="shared" si="29"/>
        <v>1882</v>
      </c>
      <c r="X25" s="36">
        <f t="shared" si="30"/>
        <v>5.286516853932584</v>
      </c>
    </row>
    <row r="26" spans="1:24" x14ac:dyDescent="0.3">
      <c r="A26" s="8">
        <v>25</v>
      </c>
      <c r="B26" s="21" t="s">
        <v>51</v>
      </c>
      <c r="C26" s="9" t="s">
        <v>50</v>
      </c>
      <c r="D26" s="29">
        <v>0</v>
      </c>
      <c r="E26" s="29">
        <v>0</v>
      </c>
      <c r="F26" s="29">
        <v>0</v>
      </c>
      <c r="G26" s="29">
        <f>6*31</f>
        <v>186</v>
      </c>
      <c r="H26" s="29">
        <f t="shared" si="13"/>
        <v>186</v>
      </c>
      <c r="I26" s="30">
        <f t="shared" si="14"/>
        <v>1.5371900826446281</v>
      </c>
      <c r="J26" s="16"/>
      <c r="K26" s="37">
        <f>6.5*31</f>
        <v>201.5</v>
      </c>
      <c r="L26" s="29">
        <f>7*28</f>
        <v>196</v>
      </c>
      <c r="M26" s="29">
        <f>7*31</f>
        <v>217</v>
      </c>
      <c r="N26" s="29">
        <f>7*30</f>
        <v>210</v>
      </c>
      <c r="O26" s="29">
        <f>6.5*31</f>
        <v>201.5</v>
      </c>
      <c r="P26" s="29">
        <f>6*30</f>
        <v>180</v>
      </c>
      <c r="Q26" s="29">
        <f>5*31</f>
        <v>155</v>
      </c>
      <c r="R26" s="29">
        <f>4.5*31</f>
        <v>139.5</v>
      </c>
      <c r="S26" s="29">
        <v>0</v>
      </c>
      <c r="T26" s="29">
        <v>0</v>
      </c>
      <c r="U26" s="29">
        <f>6*30</f>
        <v>180</v>
      </c>
      <c r="V26" s="29">
        <f t="shared" ref="V26:V31" si="32">6.5*31</f>
        <v>201.5</v>
      </c>
      <c r="W26" s="38">
        <f t="shared" si="29"/>
        <v>1882</v>
      </c>
      <c r="X26" s="39">
        <f t="shared" si="30"/>
        <v>5.286516853932584</v>
      </c>
    </row>
    <row r="27" spans="1:24" x14ac:dyDescent="0.3">
      <c r="A27" s="2">
        <v>26</v>
      </c>
      <c r="B27" s="18" t="s">
        <v>53</v>
      </c>
      <c r="C27" s="3" t="s">
        <v>54</v>
      </c>
      <c r="D27" s="25">
        <v>0</v>
      </c>
      <c r="E27" s="25">
        <v>0</v>
      </c>
      <c r="F27" s="25">
        <v>0</v>
      </c>
      <c r="G27" s="25">
        <f>6*31</f>
        <v>186</v>
      </c>
      <c r="H27" s="25">
        <f t="shared" si="13"/>
        <v>186</v>
      </c>
      <c r="I27" s="26">
        <f t="shared" si="14"/>
        <v>1.5371900826446281</v>
      </c>
      <c r="J27" s="16"/>
      <c r="K27" s="31">
        <f>6.5*31</f>
        <v>201.5</v>
      </c>
      <c r="L27" s="25">
        <f>7*28</f>
        <v>196</v>
      </c>
      <c r="M27" s="25">
        <f>7*31</f>
        <v>217</v>
      </c>
      <c r="N27" s="25">
        <f>7*30</f>
        <v>210</v>
      </c>
      <c r="O27" s="25">
        <f>6.5*31</f>
        <v>201.5</v>
      </c>
      <c r="P27" s="25">
        <f>6*30</f>
        <v>180</v>
      </c>
      <c r="Q27" s="25">
        <f>5*31</f>
        <v>155</v>
      </c>
      <c r="R27" s="25">
        <f>4.5*31</f>
        <v>139.5</v>
      </c>
      <c r="S27" s="25">
        <v>0</v>
      </c>
      <c r="T27" s="25">
        <v>0</v>
      </c>
      <c r="U27" s="25">
        <f>6*30</f>
        <v>180</v>
      </c>
      <c r="V27" s="25">
        <f t="shared" si="32"/>
        <v>201.5</v>
      </c>
      <c r="W27" s="32">
        <f t="shared" si="29"/>
        <v>1882</v>
      </c>
      <c r="X27" s="33">
        <f t="shared" si="30"/>
        <v>5.286516853932584</v>
      </c>
    </row>
    <row r="28" spans="1:24" x14ac:dyDescent="0.3">
      <c r="A28" s="2">
        <v>27</v>
      </c>
      <c r="B28" s="18" t="s">
        <v>55</v>
      </c>
      <c r="C28" s="3" t="s">
        <v>56</v>
      </c>
      <c r="D28" s="25">
        <v>0</v>
      </c>
      <c r="E28" s="25">
        <v>0</v>
      </c>
      <c r="F28" s="25">
        <v>0</v>
      </c>
      <c r="G28" s="25">
        <f>6*31</f>
        <v>186</v>
      </c>
      <c r="H28" s="25">
        <f t="shared" si="13"/>
        <v>186</v>
      </c>
      <c r="I28" s="26">
        <f t="shared" si="14"/>
        <v>1.5371900826446281</v>
      </c>
      <c r="J28" s="16"/>
      <c r="K28" s="31">
        <f>6.5*31</f>
        <v>201.5</v>
      </c>
      <c r="L28" s="25">
        <f>7*28</f>
        <v>196</v>
      </c>
      <c r="M28" s="25">
        <f>7*31</f>
        <v>217</v>
      </c>
      <c r="N28" s="25">
        <f>7*30</f>
        <v>210</v>
      </c>
      <c r="O28" s="25">
        <f>6.5*31</f>
        <v>201.5</v>
      </c>
      <c r="P28" s="25">
        <f>6*30</f>
        <v>180</v>
      </c>
      <c r="Q28" s="25">
        <f>5*31</f>
        <v>155</v>
      </c>
      <c r="R28" s="25">
        <f>4.5*31</f>
        <v>139.5</v>
      </c>
      <c r="S28" s="25">
        <v>0</v>
      </c>
      <c r="T28" s="25">
        <v>0</v>
      </c>
      <c r="U28" s="25">
        <f>6*30</f>
        <v>180</v>
      </c>
      <c r="V28" s="25">
        <f t="shared" si="32"/>
        <v>201.5</v>
      </c>
      <c r="W28" s="32">
        <f t="shared" si="29"/>
        <v>1882</v>
      </c>
      <c r="X28" s="33">
        <f t="shared" si="30"/>
        <v>5.286516853932584</v>
      </c>
    </row>
    <row r="29" spans="1:24" x14ac:dyDescent="0.3">
      <c r="A29" s="2">
        <v>28</v>
      </c>
      <c r="B29" s="18" t="s">
        <v>57</v>
      </c>
      <c r="C29" s="3" t="s">
        <v>58</v>
      </c>
      <c r="D29" s="25">
        <v>0</v>
      </c>
      <c r="E29" s="25">
        <v>0</v>
      </c>
      <c r="F29" s="25">
        <v>0</v>
      </c>
      <c r="G29" s="25">
        <f>6*31</f>
        <v>186</v>
      </c>
      <c r="H29" s="25">
        <f t="shared" si="13"/>
        <v>186</v>
      </c>
      <c r="I29" s="26">
        <f t="shared" si="14"/>
        <v>1.5371900826446281</v>
      </c>
      <c r="J29" s="16"/>
      <c r="K29" s="31">
        <f>6.5*31</f>
        <v>201.5</v>
      </c>
      <c r="L29" s="25">
        <f>7*28</f>
        <v>196</v>
      </c>
      <c r="M29" s="25">
        <f>7*31</f>
        <v>217</v>
      </c>
      <c r="N29" s="25">
        <f>7*30</f>
        <v>210</v>
      </c>
      <c r="O29" s="25">
        <f>6.5*31</f>
        <v>201.5</v>
      </c>
      <c r="P29" s="25">
        <f>6*30</f>
        <v>180</v>
      </c>
      <c r="Q29" s="25">
        <f>5*31</f>
        <v>155</v>
      </c>
      <c r="R29" s="25">
        <f>4.5*31</f>
        <v>139.5</v>
      </c>
      <c r="S29" s="25">
        <v>0</v>
      </c>
      <c r="T29" s="25">
        <v>0</v>
      </c>
      <c r="U29" s="25">
        <f>6*30</f>
        <v>180</v>
      </c>
      <c r="V29" s="25">
        <f t="shared" si="32"/>
        <v>201.5</v>
      </c>
      <c r="W29" s="32">
        <f t="shared" si="29"/>
        <v>1882</v>
      </c>
      <c r="X29" s="33">
        <f t="shared" si="30"/>
        <v>5.286516853932584</v>
      </c>
    </row>
    <row r="30" spans="1:24" ht="15" thickBot="1" x14ac:dyDescent="0.35">
      <c r="A30" s="13">
        <v>29</v>
      </c>
      <c r="B30" s="20" t="s">
        <v>59</v>
      </c>
      <c r="C30" s="14" t="s">
        <v>60</v>
      </c>
      <c r="D30" s="27">
        <v>0</v>
      </c>
      <c r="E30" s="27">
        <v>0</v>
      </c>
      <c r="F30" s="27">
        <v>0</v>
      </c>
      <c r="G30" s="27">
        <f>6*31</f>
        <v>186</v>
      </c>
      <c r="H30" s="27">
        <f t="shared" si="13"/>
        <v>186</v>
      </c>
      <c r="I30" s="28">
        <f t="shared" si="14"/>
        <v>1.5371900826446281</v>
      </c>
      <c r="J30" s="16"/>
      <c r="K30" s="34">
        <f>6.5*31</f>
        <v>201.5</v>
      </c>
      <c r="L30" s="27">
        <f>7*28</f>
        <v>196</v>
      </c>
      <c r="M30" s="27">
        <f>7*31</f>
        <v>217</v>
      </c>
      <c r="N30" s="27">
        <f>7*30</f>
        <v>210</v>
      </c>
      <c r="O30" s="27">
        <f>6.5*31</f>
        <v>201.5</v>
      </c>
      <c r="P30" s="27">
        <f>6*30</f>
        <v>180</v>
      </c>
      <c r="Q30" s="27">
        <f>5*31</f>
        <v>155</v>
      </c>
      <c r="R30" s="27">
        <f>4.5*31</f>
        <v>139.5</v>
      </c>
      <c r="S30" s="27">
        <v>0</v>
      </c>
      <c r="T30" s="27">
        <v>0</v>
      </c>
      <c r="U30" s="27">
        <f>6*30</f>
        <v>180</v>
      </c>
      <c r="V30" s="27">
        <f t="shared" si="32"/>
        <v>201.5</v>
      </c>
      <c r="W30" s="35">
        <f t="shared" si="29"/>
        <v>1882</v>
      </c>
      <c r="X30" s="36">
        <f t="shared" si="30"/>
        <v>5.286516853932584</v>
      </c>
    </row>
    <row r="31" spans="1:24" x14ac:dyDescent="0.3">
      <c r="A31" s="8">
        <v>30</v>
      </c>
      <c r="B31" s="21" t="s">
        <v>73</v>
      </c>
      <c r="C31" s="9" t="s">
        <v>74</v>
      </c>
      <c r="D31" s="29">
        <v>0</v>
      </c>
      <c r="E31" s="29">
        <v>0</v>
      </c>
      <c r="F31" s="29">
        <v>0</v>
      </c>
      <c r="G31" s="29">
        <v>0</v>
      </c>
      <c r="H31" s="29">
        <f t="shared" si="13"/>
        <v>0</v>
      </c>
      <c r="I31" s="30">
        <f t="shared" si="14"/>
        <v>0</v>
      </c>
      <c r="J31" s="16"/>
      <c r="K31" s="37">
        <f>6*31</f>
        <v>186</v>
      </c>
      <c r="L31" s="29">
        <f>6.5*31</f>
        <v>201.5</v>
      </c>
      <c r="M31" s="29">
        <f>7*28</f>
        <v>196</v>
      </c>
      <c r="N31" s="29">
        <f>7*31</f>
        <v>217</v>
      </c>
      <c r="O31" s="29">
        <f>7*30</f>
        <v>210</v>
      </c>
      <c r="P31" s="29">
        <f>6.5*31</f>
        <v>201.5</v>
      </c>
      <c r="Q31" s="29">
        <f>6*30</f>
        <v>180</v>
      </c>
      <c r="R31" s="29">
        <f>5*31</f>
        <v>155</v>
      </c>
      <c r="S31" s="29">
        <f>4.5*31</f>
        <v>139.5</v>
      </c>
      <c r="T31" s="29">
        <v>0</v>
      </c>
      <c r="U31" s="29">
        <v>0</v>
      </c>
      <c r="V31" s="29">
        <f t="shared" si="32"/>
        <v>201.5</v>
      </c>
      <c r="W31" s="38">
        <f t="shared" si="29"/>
        <v>1888</v>
      </c>
      <c r="X31" s="39">
        <f t="shared" si="30"/>
        <v>5.3033707865168536</v>
      </c>
    </row>
    <row r="32" spans="1:24" x14ac:dyDescent="0.3">
      <c r="A32" s="2">
        <v>31</v>
      </c>
      <c r="B32" s="18" t="s">
        <v>61</v>
      </c>
      <c r="C32" s="3" t="s">
        <v>62</v>
      </c>
      <c r="D32" s="25">
        <v>0</v>
      </c>
      <c r="E32" s="25">
        <v>0</v>
      </c>
      <c r="F32" s="25">
        <v>0</v>
      </c>
      <c r="G32" s="25">
        <v>0</v>
      </c>
      <c r="H32" s="25">
        <f t="shared" si="13"/>
        <v>0</v>
      </c>
      <c r="I32" s="26">
        <f t="shared" si="14"/>
        <v>0</v>
      </c>
      <c r="J32" s="16"/>
      <c r="K32" s="31">
        <v>0</v>
      </c>
      <c r="L32" s="25">
        <f>6*31</f>
        <v>186</v>
      </c>
      <c r="M32" s="25">
        <f>6.5*31</f>
        <v>201.5</v>
      </c>
      <c r="N32" s="25">
        <f>7*28</f>
        <v>196</v>
      </c>
      <c r="O32" s="25">
        <f>7*31</f>
        <v>217</v>
      </c>
      <c r="P32" s="25">
        <f>7*30</f>
        <v>210</v>
      </c>
      <c r="Q32" s="25">
        <f>6.5*31</f>
        <v>201.5</v>
      </c>
      <c r="R32" s="25">
        <f>6*30</f>
        <v>180</v>
      </c>
      <c r="S32" s="25">
        <f>5*31</f>
        <v>155</v>
      </c>
      <c r="T32" s="25">
        <v>0</v>
      </c>
      <c r="U32" s="25">
        <v>0</v>
      </c>
      <c r="V32" s="25">
        <f>6*30</f>
        <v>180</v>
      </c>
      <c r="W32" s="32">
        <f t="shared" si="29"/>
        <v>1727</v>
      </c>
      <c r="X32" s="33">
        <f t="shared" si="30"/>
        <v>4.8511235955056176</v>
      </c>
    </row>
    <row r="33" spans="1:24" x14ac:dyDescent="0.3">
      <c r="A33" s="2">
        <v>32</v>
      </c>
      <c r="B33" s="18" t="s">
        <v>63</v>
      </c>
      <c r="C33" s="3" t="s">
        <v>64</v>
      </c>
      <c r="D33" s="25">
        <v>0</v>
      </c>
      <c r="E33" s="25">
        <v>0</v>
      </c>
      <c r="F33" s="25">
        <v>0</v>
      </c>
      <c r="G33" s="25">
        <v>0</v>
      </c>
      <c r="H33" s="25">
        <f t="shared" si="13"/>
        <v>0</v>
      </c>
      <c r="I33" s="26">
        <f t="shared" si="14"/>
        <v>0</v>
      </c>
      <c r="J33" s="16"/>
      <c r="K33" s="31">
        <v>0</v>
      </c>
      <c r="L33" s="25">
        <f>6*31</f>
        <v>186</v>
      </c>
      <c r="M33" s="25">
        <f>6.5*31</f>
        <v>201.5</v>
      </c>
      <c r="N33" s="25">
        <f>7*28</f>
        <v>196</v>
      </c>
      <c r="O33" s="25">
        <f>7*31</f>
        <v>217</v>
      </c>
      <c r="P33" s="25">
        <f>7*30</f>
        <v>210</v>
      </c>
      <c r="Q33" s="25">
        <f>6.5*31</f>
        <v>201.5</v>
      </c>
      <c r="R33" s="25">
        <f>6*30</f>
        <v>180</v>
      </c>
      <c r="S33" s="25">
        <f>5*31</f>
        <v>155</v>
      </c>
      <c r="T33" s="25">
        <v>0</v>
      </c>
      <c r="U33" s="25">
        <v>0</v>
      </c>
      <c r="V33" s="25">
        <f>6*30</f>
        <v>180</v>
      </c>
      <c r="W33" s="32">
        <f t="shared" si="29"/>
        <v>1727</v>
      </c>
      <c r="X33" s="33">
        <f t="shared" si="30"/>
        <v>4.8511235955056176</v>
      </c>
    </row>
    <row r="34" spans="1:24" x14ac:dyDescent="0.3">
      <c r="A34" s="2">
        <v>33</v>
      </c>
      <c r="B34" s="18" t="s">
        <v>65</v>
      </c>
      <c r="C34" s="3" t="s">
        <v>66</v>
      </c>
      <c r="D34" s="25">
        <v>0</v>
      </c>
      <c r="E34" s="25">
        <v>0</v>
      </c>
      <c r="F34" s="25">
        <v>0</v>
      </c>
      <c r="G34" s="25">
        <v>0</v>
      </c>
      <c r="H34" s="25">
        <f t="shared" si="13"/>
        <v>0</v>
      </c>
      <c r="I34" s="26">
        <f t="shared" si="14"/>
        <v>0</v>
      </c>
      <c r="J34" s="16"/>
      <c r="K34" s="31">
        <v>0</v>
      </c>
      <c r="L34" s="25">
        <v>0</v>
      </c>
      <c r="M34" s="25">
        <f>6*31</f>
        <v>186</v>
      </c>
      <c r="N34" s="25">
        <f>6.5*31</f>
        <v>201.5</v>
      </c>
      <c r="O34" s="25">
        <f>7*28</f>
        <v>196</v>
      </c>
      <c r="P34" s="25">
        <f>7*31</f>
        <v>217</v>
      </c>
      <c r="Q34" s="25">
        <f>7*30</f>
        <v>210</v>
      </c>
      <c r="R34" s="25">
        <f>6.5*31</f>
        <v>201.5</v>
      </c>
      <c r="S34" s="25">
        <f>6*30</f>
        <v>180</v>
      </c>
      <c r="T34" s="25">
        <f>5*31</f>
        <v>155</v>
      </c>
      <c r="U34" s="25">
        <v>0</v>
      </c>
      <c r="V34" s="25">
        <v>0</v>
      </c>
      <c r="W34" s="32">
        <f t="shared" si="29"/>
        <v>1547</v>
      </c>
      <c r="X34" s="33">
        <f t="shared" si="30"/>
        <v>4.345505617977528</v>
      </c>
    </row>
    <row r="35" spans="1:24" x14ac:dyDescent="0.3">
      <c r="A35" s="2">
        <v>34</v>
      </c>
      <c r="B35" s="18" t="s">
        <v>67</v>
      </c>
      <c r="C35" s="3" t="s">
        <v>68</v>
      </c>
      <c r="D35" s="25">
        <v>0</v>
      </c>
      <c r="E35" s="25">
        <v>0</v>
      </c>
      <c r="F35" s="25">
        <v>0</v>
      </c>
      <c r="G35" s="25">
        <v>0</v>
      </c>
      <c r="H35" s="25">
        <f t="shared" si="13"/>
        <v>0</v>
      </c>
      <c r="I35" s="26">
        <f t="shared" si="14"/>
        <v>0</v>
      </c>
      <c r="J35" s="16"/>
      <c r="K35" s="31">
        <v>0</v>
      </c>
      <c r="L35" s="25">
        <v>0</v>
      </c>
      <c r="M35" s="25">
        <f>6*31</f>
        <v>186</v>
      </c>
      <c r="N35" s="25">
        <f>6.5*31</f>
        <v>201.5</v>
      </c>
      <c r="O35" s="25">
        <f>7*28</f>
        <v>196</v>
      </c>
      <c r="P35" s="25">
        <f>7*31</f>
        <v>217</v>
      </c>
      <c r="Q35" s="25">
        <f>7*30</f>
        <v>210</v>
      </c>
      <c r="R35" s="25">
        <f>6.5*31</f>
        <v>201.5</v>
      </c>
      <c r="S35" s="25">
        <f>6*30</f>
        <v>180</v>
      </c>
      <c r="T35" s="25">
        <f>5*31</f>
        <v>155</v>
      </c>
      <c r="U35" s="25">
        <v>0</v>
      </c>
      <c r="V35" s="25">
        <v>0</v>
      </c>
      <c r="W35" s="32">
        <f t="shared" si="29"/>
        <v>1547</v>
      </c>
      <c r="X35" s="33">
        <f t="shared" si="30"/>
        <v>4.345505617977528</v>
      </c>
    </row>
    <row r="36" spans="1:24" x14ac:dyDescent="0.3">
      <c r="A36" s="2">
        <v>35</v>
      </c>
      <c r="B36" s="18" t="s">
        <v>69</v>
      </c>
      <c r="C36" s="3" t="s">
        <v>70</v>
      </c>
      <c r="D36" s="25">
        <v>0</v>
      </c>
      <c r="E36" s="25">
        <v>0</v>
      </c>
      <c r="F36" s="25">
        <v>0</v>
      </c>
      <c r="G36" s="25">
        <v>0</v>
      </c>
      <c r="H36" s="25">
        <f t="shared" si="13"/>
        <v>0</v>
      </c>
      <c r="I36" s="26">
        <f t="shared" si="14"/>
        <v>0</v>
      </c>
      <c r="J36" s="16"/>
      <c r="K36" s="31">
        <v>0</v>
      </c>
      <c r="L36" s="25">
        <v>0</v>
      </c>
      <c r="M36" s="25">
        <f>6*31</f>
        <v>186</v>
      </c>
      <c r="N36" s="25">
        <f>6.5*31</f>
        <v>201.5</v>
      </c>
      <c r="O36" s="25">
        <f>7*28</f>
        <v>196</v>
      </c>
      <c r="P36" s="25">
        <f>7*31</f>
        <v>217</v>
      </c>
      <c r="Q36" s="25">
        <f>7*30</f>
        <v>210</v>
      </c>
      <c r="R36" s="25">
        <f>6.5*31</f>
        <v>201.5</v>
      </c>
      <c r="S36" s="25">
        <f>6*30</f>
        <v>180</v>
      </c>
      <c r="T36" s="25">
        <f>5*31</f>
        <v>155</v>
      </c>
      <c r="U36" s="25">
        <v>0</v>
      </c>
      <c r="V36" s="25">
        <v>0</v>
      </c>
      <c r="W36" s="32">
        <f t="shared" si="29"/>
        <v>1547</v>
      </c>
      <c r="X36" s="33">
        <f t="shared" si="30"/>
        <v>4.345505617977528</v>
      </c>
    </row>
    <row r="37" spans="1:24" ht="15" thickBot="1" x14ac:dyDescent="0.35">
      <c r="A37" s="13">
        <v>36</v>
      </c>
      <c r="B37" s="20" t="s">
        <v>71</v>
      </c>
      <c r="C37" s="14" t="s">
        <v>72</v>
      </c>
      <c r="D37" s="27">
        <v>0</v>
      </c>
      <c r="E37" s="27">
        <v>0</v>
      </c>
      <c r="F37" s="27">
        <v>0</v>
      </c>
      <c r="G37" s="27">
        <v>0</v>
      </c>
      <c r="H37" s="27">
        <f t="shared" si="13"/>
        <v>0</v>
      </c>
      <c r="I37" s="28">
        <f t="shared" si="14"/>
        <v>0</v>
      </c>
      <c r="J37" s="16"/>
      <c r="K37" s="34">
        <v>0</v>
      </c>
      <c r="L37" s="27">
        <v>0</v>
      </c>
      <c r="M37" s="27">
        <v>0</v>
      </c>
      <c r="N37" s="27">
        <v>0</v>
      </c>
      <c r="O37" s="27">
        <f>6*31</f>
        <v>186</v>
      </c>
      <c r="P37" s="27">
        <f>6.5*31</f>
        <v>201.5</v>
      </c>
      <c r="Q37" s="27">
        <f>7*28</f>
        <v>196</v>
      </c>
      <c r="R37" s="27">
        <f>7*31</f>
        <v>217</v>
      </c>
      <c r="S37" s="27">
        <f>7*30</f>
        <v>210</v>
      </c>
      <c r="T37" s="27">
        <f>6.5*31</f>
        <v>201.5</v>
      </c>
      <c r="U37" s="27">
        <f>6*30</f>
        <v>180</v>
      </c>
      <c r="V37" s="27">
        <f>5*31</f>
        <v>155</v>
      </c>
      <c r="W37" s="35">
        <f t="shared" si="29"/>
        <v>1547</v>
      </c>
      <c r="X37" s="36">
        <f t="shared" si="30"/>
        <v>4.345505617977528</v>
      </c>
    </row>
    <row r="38" spans="1:24" x14ac:dyDescent="0.3">
      <c r="A38" s="8">
        <v>37</v>
      </c>
      <c r="B38" s="21" t="s">
        <v>75</v>
      </c>
      <c r="C38" s="9" t="s">
        <v>76</v>
      </c>
      <c r="D38" s="29">
        <f>6.5*31</f>
        <v>201.5</v>
      </c>
      <c r="E38" s="29">
        <f>7*28</f>
        <v>196</v>
      </c>
      <c r="F38" s="29">
        <f>7*31</f>
        <v>217</v>
      </c>
      <c r="G38" s="29">
        <f>7*30</f>
        <v>210</v>
      </c>
      <c r="H38" s="29">
        <f t="shared" si="13"/>
        <v>824.5</v>
      </c>
      <c r="I38" s="30">
        <f t="shared" si="14"/>
        <v>6.8140495867768598</v>
      </c>
      <c r="J38" s="16"/>
      <c r="K38" s="37">
        <f>6.5*31</f>
        <v>201.5</v>
      </c>
      <c r="L38" s="29">
        <f>6*30</f>
        <v>180</v>
      </c>
      <c r="M38" s="29">
        <f>5*31</f>
        <v>155</v>
      </c>
      <c r="N38" s="29">
        <f>4.5*31</f>
        <v>139.5</v>
      </c>
      <c r="O38" s="29">
        <v>0</v>
      </c>
      <c r="P38" s="29">
        <v>0</v>
      </c>
      <c r="Q38" s="29">
        <v>0</v>
      </c>
      <c r="R38" s="29">
        <f>6*30</f>
        <v>180</v>
      </c>
      <c r="S38" s="29">
        <f>6.5*31</f>
        <v>201.5</v>
      </c>
      <c r="T38" s="29">
        <f>6.5*31</f>
        <v>201.5</v>
      </c>
      <c r="U38" s="29">
        <f>7*28</f>
        <v>196</v>
      </c>
      <c r="V38" s="29">
        <f>7.5*31</f>
        <v>232.5</v>
      </c>
      <c r="W38" s="38">
        <f t="shared" si="29"/>
        <v>1687.5</v>
      </c>
      <c r="X38" s="39">
        <f t="shared" si="30"/>
        <v>4.7401685393258424</v>
      </c>
    </row>
    <row r="39" spans="1:24" x14ac:dyDescent="0.3">
      <c r="A39" s="2">
        <v>38</v>
      </c>
      <c r="B39" s="18" t="s">
        <v>77</v>
      </c>
      <c r="C39" s="3" t="s">
        <v>78</v>
      </c>
      <c r="D39" s="25">
        <f>7*28</f>
        <v>196</v>
      </c>
      <c r="E39" s="25">
        <f>7*31</f>
        <v>217</v>
      </c>
      <c r="F39" s="25">
        <f>7*30</f>
        <v>210</v>
      </c>
      <c r="G39" s="25">
        <f>6.5*31</f>
        <v>201.5</v>
      </c>
      <c r="H39" s="25">
        <f t="shared" si="13"/>
        <v>824.5</v>
      </c>
      <c r="I39" s="26">
        <f t="shared" si="14"/>
        <v>6.8140495867768598</v>
      </c>
      <c r="J39" s="16"/>
      <c r="K39" s="31">
        <f>6*30</f>
        <v>180</v>
      </c>
      <c r="L39" s="25">
        <f t="shared" ref="K39:L41" si="33">5*31</f>
        <v>155</v>
      </c>
      <c r="M39" s="25">
        <f t="shared" ref="L39:M41" si="34">4.5*31</f>
        <v>139.5</v>
      </c>
      <c r="N39" s="25">
        <v>0</v>
      </c>
      <c r="O39" s="25">
        <v>0</v>
      </c>
      <c r="P39" s="25">
        <f>6*31</f>
        <v>186</v>
      </c>
      <c r="Q39" s="25">
        <f>6.5*31</f>
        <v>201.5</v>
      </c>
      <c r="R39" s="25">
        <f>7*28</f>
        <v>196</v>
      </c>
      <c r="S39" s="25">
        <f>7*31</f>
        <v>217</v>
      </c>
      <c r="T39" s="25">
        <f>7*30</f>
        <v>210</v>
      </c>
      <c r="U39" s="25">
        <f>6.5*31</f>
        <v>201.5</v>
      </c>
      <c r="V39" s="25">
        <f>6*30</f>
        <v>180</v>
      </c>
      <c r="W39" s="32">
        <f t="shared" si="29"/>
        <v>1866.5</v>
      </c>
      <c r="X39" s="33">
        <f t="shared" si="30"/>
        <v>5.242977528089888</v>
      </c>
    </row>
    <row r="40" spans="1:24" x14ac:dyDescent="0.3">
      <c r="A40" s="2">
        <v>39</v>
      </c>
      <c r="B40" s="18" t="s">
        <v>79</v>
      </c>
      <c r="C40" s="3" t="s">
        <v>80</v>
      </c>
      <c r="D40" s="25">
        <f>7*31</f>
        <v>217</v>
      </c>
      <c r="E40" s="25">
        <f>7*30</f>
        <v>210</v>
      </c>
      <c r="F40" s="25">
        <f>6.5*31</f>
        <v>201.5</v>
      </c>
      <c r="G40" s="25">
        <f>6*30</f>
        <v>180</v>
      </c>
      <c r="H40" s="25">
        <f t="shared" si="13"/>
        <v>808.5</v>
      </c>
      <c r="I40" s="26">
        <f t="shared" si="14"/>
        <v>6.6818181818181817</v>
      </c>
      <c r="J40" s="16"/>
      <c r="K40" s="31">
        <f t="shared" si="33"/>
        <v>155</v>
      </c>
      <c r="L40" s="25">
        <f t="shared" si="34"/>
        <v>139.5</v>
      </c>
      <c r="M40" s="25">
        <v>0</v>
      </c>
      <c r="N40" s="25">
        <v>0</v>
      </c>
      <c r="O40" s="25">
        <f>6*31</f>
        <v>186</v>
      </c>
      <c r="P40" s="25">
        <f>6.5*31</f>
        <v>201.5</v>
      </c>
      <c r="Q40" s="25">
        <f>7*28</f>
        <v>196</v>
      </c>
      <c r="R40" s="25">
        <f>7*31</f>
        <v>217</v>
      </c>
      <c r="S40" s="25">
        <f>7*30</f>
        <v>210</v>
      </c>
      <c r="T40" s="25">
        <f>6.5*31</f>
        <v>201.5</v>
      </c>
      <c r="U40" s="25">
        <f>6*30</f>
        <v>180</v>
      </c>
      <c r="V40" s="25">
        <f>5*31</f>
        <v>155</v>
      </c>
      <c r="W40" s="32">
        <f t="shared" si="29"/>
        <v>1841.5</v>
      </c>
      <c r="X40" s="33">
        <f t="shared" si="30"/>
        <v>5.172752808988764</v>
      </c>
    </row>
    <row r="41" spans="1:24" x14ac:dyDescent="0.3">
      <c r="A41" s="2">
        <v>40</v>
      </c>
      <c r="B41" s="18" t="s">
        <v>81</v>
      </c>
      <c r="C41" s="3" t="s">
        <v>82</v>
      </c>
      <c r="D41" s="25">
        <f>6.5*31</f>
        <v>201.5</v>
      </c>
      <c r="E41" s="25">
        <f>6.5*31</f>
        <v>201.5</v>
      </c>
      <c r="F41" s="25">
        <f>6.5*31</f>
        <v>201.5</v>
      </c>
      <c r="G41" s="25">
        <v>0</v>
      </c>
      <c r="H41" s="25">
        <f t="shared" si="13"/>
        <v>604.5</v>
      </c>
      <c r="I41" s="26">
        <f t="shared" si="14"/>
        <v>4.9958677685950414</v>
      </c>
      <c r="J41" s="16"/>
      <c r="K41" s="31">
        <f t="shared" si="33"/>
        <v>155</v>
      </c>
      <c r="L41" s="25">
        <f t="shared" si="34"/>
        <v>139.5</v>
      </c>
      <c r="M41" s="25">
        <v>0</v>
      </c>
      <c r="N41" s="25">
        <v>0</v>
      </c>
      <c r="O41" s="25">
        <f>6*31</f>
        <v>186</v>
      </c>
      <c r="P41" s="25">
        <f>6.5*31</f>
        <v>201.5</v>
      </c>
      <c r="Q41" s="25">
        <f>7*28</f>
        <v>196</v>
      </c>
      <c r="R41" s="25">
        <f>7*31</f>
        <v>217</v>
      </c>
      <c r="S41" s="25">
        <f>7*30</f>
        <v>210</v>
      </c>
      <c r="T41" s="25">
        <f>6.5*31</f>
        <v>201.5</v>
      </c>
      <c r="U41" s="25">
        <f>6*30</f>
        <v>180</v>
      </c>
      <c r="V41" s="25">
        <f>5*31</f>
        <v>155</v>
      </c>
      <c r="W41" s="32">
        <f t="shared" si="29"/>
        <v>1841.5</v>
      </c>
      <c r="X41" s="33">
        <f t="shared" si="30"/>
        <v>5.172752808988764</v>
      </c>
    </row>
    <row r="42" spans="1:24" x14ac:dyDescent="0.3">
      <c r="A42" s="2">
        <v>41</v>
      </c>
      <c r="B42" s="18" t="s">
        <v>83</v>
      </c>
      <c r="C42" s="3" t="s">
        <v>84</v>
      </c>
      <c r="D42" s="25">
        <f>6.5*31</f>
        <v>201.5</v>
      </c>
      <c r="E42" s="25">
        <f>6.5*31</f>
        <v>201.5</v>
      </c>
      <c r="F42" s="25">
        <f>6.5*31</f>
        <v>201.5</v>
      </c>
      <c r="G42" s="25">
        <f>6.5*31</f>
        <v>201.5</v>
      </c>
      <c r="H42" s="25">
        <f t="shared" si="13"/>
        <v>806</v>
      </c>
      <c r="I42" s="26">
        <f t="shared" si="14"/>
        <v>6.661157024793388</v>
      </c>
      <c r="J42" s="16"/>
      <c r="K42" s="31">
        <f>6.5*31</f>
        <v>201.5</v>
      </c>
      <c r="L42" s="25">
        <f>6.5*31</f>
        <v>201.5</v>
      </c>
      <c r="M42" s="25">
        <f>6.5*31</f>
        <v>201.5</v>
      </c>
      <c r="N42" s="25">
        <f>6.5*31</f>
        <v>201.5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32">
        <f t="shared" si="29"/>
        <v>806</v>
      </c>
      <c r="X42" s="33">
        <f t="shared" si="30"/>
        <v>2.2640449438202248</v>
      </c>
    </row>
    <row r="43" spans="1:24" x14ac:dyDescent="0.3">
      <c r="A43" s="2">
        <v>42</v>
      </c>
      <c r="B43" s="18" t="s">
        <v>85</v>
      </c>
      <c r="C43" s="3" t="s">
        <v>86</v>
      </c>
      <c r="D43" s="25">
        <v>0</v>
      </c>
      <c r="E43" s="25">
        <v>0</v>
      </c>
      <c r="F43" s="25">
        <v>0</v>
      </c>
      <c r="G43" s="25">
        <v>0</v>
      </c>
      <c r="H43" s="25">
        <f t="shared" si="13"/>
        <v>0</v>
      </c>
      <c r="I43" s="26">
        <f t="shared" si="14"/>
        <v>0</v>
      </c>
      <c r="J43" s="16"/>
      <c r="K43" s="31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32">
        <f t="shared" si="29"/>
        <v>0</v>
      </c>
      <c r="X43" s="33">
        <f t="shared" si="30"/>
        <v>0</v>
      </c>
    </row>
    <row r="44" spans="1:24" x14ac:dyDescent="0.3">
      <c r="A44" s="2">
        <v>43</v>
      </c>
      <c r="B44" s="18" t="s">
        <v>87</v>
      </c>
      <c r="C44" s="3" t="s">
        <v>90</v>
      </c>
      <c r="D44" s="25">
        <v>0</v>
      </c>
      <c r="E44" s="25">
        <v>0</v>
      </c>
      <c r="F44" s="25">
        <v>0</v>
      </c>
      <c r="G44" s="25">
        <v>0</v>
      </c>
      <c r="H44" s="25">
        <f>SUM(D44:G44)</f>
        <v>0</v>
      </c>
      <c r="I44" s="26">
        <f t="shared" si="14"/>
        <v>0</v>
      </c>
      <c r="J44" s="16"/>
      <c r="K44" s="31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32">
        <f t="shared" si="29"/>
        <v>0</v>
      </c>
      <c r="X44" s="33">
        <f t="shared" si="30"/>
        <v>0</v>
      </c>
    </row>
    <row r="45" spans="1:24" x14ac:dyDescent="0.3">
      <c r="A45" s="2">
        <v>44</v>
      </c>
      <c r="B45" s="18" t="s">
        <v>88</v>
      </c>
      <c r="C45" s="3" t="s">
        <v>89</v>
      </c>
      <c r="D45" s="25">
        <f>6*31</f>
        <v>186</v>
      </c>
      <c r="E45" s="25">
        <f>6.5*31</f>
        <v>201.5</v>
      </c>
      <c r="F45" s="25">
        <f>7*28</f>
        <v>196</v>
      </c>
      <c r="G45" s="25">
        <f>7*31</f>
        <v>217</v>
      </c>
      <c r="H45" s="25">
        <f t="shared" si="13"/>
        <v>800.5</v>
      </c>
      <c r="I45" s="26">
        <f t="shared" si="14"/>
        <v>6.615702479338843</v>
      </c>
      <c r="J45" s="16"/>
      <c r="K45" s="31">
        <f>7*30</f>
        <v>210</v>
      </c>
      <c r="L45" s="25">
        <f>6.5*31</f>
        <v>201.5</v>
      </c>
      <c r="M45" s="25">
        <f>6*30</f>
        <v>180</v>
      </c>
      <c r="N45" s="25">
        <f>5*31</f>
        <v>155</v>
      </c>
      <c r="O45" s="25">
        <f>4.5*31</f>
        <v>139.5</v>
      </c>
      <c r="P45" s="25">
        <v>0</v>
      </c>
      <c r="Q45" s="25">
        <v>0</v>
      </c>
      <c r="R45" s="25">
        <f>6*30</f>
        <v>180</v>
      </c>
      <c r="S45" s="25">
        <f>6.5*31</f>
        <v>201.5</v>
      </c>
      <c r="T45" s="25">
        <f>6.5*31</f>
        <v>201.5</v>
      </c>
      <c r="U45" s="25">
        <f>7*28</f>
        <v>196</v>
      </c>
      <c r="V45" s="25">
        <f>7.5*31</f>
        <v>232.5</v>
      </c>
      <c r="W45" s="32">
        <f t="shared" si="29"/>
        <v>1897.5</v>
      </c>
      <c r="X45" s="33">
        <f>W45/304</f>
        <v>6.2417763157894735</v>
      </c>
    </row>
    <row r="46" spans="1:24" x14ac:dyDescent="0.3">
      <c r="A46" s="2">
        <v>45</v>
      </c>
      <c r="B46" s="18" t="s">
        <v>91</v>
      </c>
      <c r="C46" s="3" t="s">
        <v>92</v>
      </c>
      <c r="D46" s="25">
        <f>6*31</f>
        <v>186</v>
      </c>
      <c r="E46" s="25">
        <f>6.5*31</f>
        <v>201.5</v>
      </c>
      <c r="F46" s="25">
        <f>7*28</f>
        <v>196</v>
      </c>
      <c r="G46" s="25">
        <f>7*31</f>
        <v>217</v>
      </c>
      <c r="H46" s="25">
        <f t="shared" si="13"/>
        <v>800.5</v>
      </c>
      <c r="I46" s="26">
        <f t="shared" si="14"/>
        <v>6.615702479338843</v>
      </c>
      <c r="J46" s="16"/>
      <c r="K46" s="31">
        <f>7*30</f>
        <v>210</v>
      </c>
      <c r="L46" s="25">
        <f>6.5*31</f>
        <v>201.5</v>
      </c>
      <c r="M46" s="25">
        <f>6*30</f>
        <v>180</v>
      </c>
      <c r="N46" s="25">
        <f>5*31</f>
        <v>155</v>
      </c>
      <c r="O46" s="25">
        <f>4.5*31</f>
        <v>139.5</v>
      </c>
      <c r="P46" s="25">
        <v>0</v>
      </c>
      <c r="Q46" s="25">
        <v>0</v>
      </c>
      <c r="R46" s="25">
        <f>6*30</f>
        <v>180</v>
      </c>
      <c r="S46" s="25">
        <f>6.5*31</f>
        <v>201.5</v>
      </c>
      <c r="T46" s="25">
        <f>6.5*31</f>
        <v>201.5</v>
      </c>
      <c r="U46" s="25">
        <f>7*28</f>
        <v>196</v>
      </c>
      <c r="V46" s="25">
        <f>7.5*31</f>
        <v>232.5</v>
      </c>
      <c r="W46" s="32">
        <f t="shared" si="29"/>
        <v>1897.5</v>
      </c>
      <c r="X46" s="33">
        <f>W46/304</f>
        <v>6.2417763157894735</v>
      </c>
    </row>
    <row r="47" spans="1:24" ht="15.6" x14ac:dyDescent="0.3">
      <c r="A47" s="1"/>
    </row>
    <row r="48" spans="1:24" ht="15.6" x14ac:dyDescent="0.3">
      <c r="A48" s="1"/>
      <c r="X48" s="5"/>
    </row>
    <row r="51" spans="1:24" x14ac:dyDescent="0.3">
      <c r="D51" s="338" t="s">
        <v>93</v>
      </c>
      <c r="E51" s="338"/>
      <c r="F51" s="338"/>
      <c r="G51" s="338"/>
      <c r="H51" s="338"/>
      <c r="I51" s="338"/>
      <c r="J51" s="22"/>
      <c r="K51" s="338" t="s">
        <v>95</v>
      </c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</row>
    <row r="52" spans="1:24" x14ac:dyDescent="0.3">
      <c r="D52" s="339" t="s">
        <v>96</v>
      </c>
      <c r="E52" s="340"/>
      <c r="F52" s="340"/>
      <c r="G52" s="340"/>
      <c r="H52" s="341" t="s">
        <v>94</v>
      </c>
      <c r="K52" s="339" t="s">
        <v>96</v>
      </c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1" t="s">
        <v>94</v>
      </c>
      <c r="X52"/>
    </row>
    <row r="53" spans="1:24" x14ac:dyDescent="0.3">
      <c r="A53" s="10" t="s">
        <v>0</v>
      </c>
      <c r="B53" s="10" t="s">
        <v>1</v>
      </c>
      <c r="C53" s="10" t="s">
        <v>2</v>
      </c>
      <c r="D53" s="23">
        <v>43800</v>
      </c>
      <c r="E53" s="23">
        <v>43831</v>
      </c>
      <c r="F53" s="23">
        <v>43862</v>
      </c>
      <c r="G53" s="40">
        <v>43891</v>
      </c>
      <c r="H53" s="341"/>
      <c r="J53" s="15"/>
      <c r="K53" s="24">
        <v>43922</v>
      </c>
      <c r="L53" s="23">
        <v>43952</v>
      </c>
      <c r="M53" s="23">
        <v>43983</v>
      </c>
      <c r="N53" s="23">
        <v>44013</v>
      </c>
      <c r="O53" s="23">
        <v>44044</v>
      </c>
      <c r="P53" s="23">
        <v>44075</v>
      </c>
      <c r="Q53" s="23">
        <v>44105</v>
      </c>
      <c r="R53" s="23">
        <v>44136</v>
      </c>
      <c r="S53" s="23">
        <v>44166</v>
      </c>
      <c r="T53" s="23">
        <v>44197</v>
      </c>
      <c r="U53" s="23">
        <v>44228</v>
      </c>
      <c r="V53" s="40">
        <v>44256</v>
      </c>
      <c r="W53" s="341"/>
      <c r="X53"/>
    </row>
    <row r="54" spans="1:24" x14ac:dyDescent="0.3">
      <c r="A54" s="2">
        <v>1</v>
      </c>
      <c r="B54" s="18" t="s">
        <v>3</v>
      </c>
      <c r="C54" s="3" t="s">
        <v>4</v>
      </c>
      <c r="D54" s="25">
        <f>D2/31</f>
        <v>6</v>
      </c>
      <c r="E54" s="41">
        <f>E2/31</f>
        <v>6.5</v>
      </c>
      <c r="F54" s="25">
        <f>F2/28</f>
        <v>7</v>
      </c>
      <c r="G54" s="25">
        <f>G2/31</f>
        <v>7</v>
      </c>
      <c r="H54" s="42">
        <f>H2/121</f>
        <v>6.615702479338843</v>
      </c>
      <c r="J54" s="16"/>
      <c r="K54" s="31">
        <f>K2/30</f>
        <v>7</v>
      </c>
      <c r="L54" s="31">
        <f>L2/31</f>
        <v>6.5</v>
      </c>
      <c r="M54" s="31">
        <f t="shared" ref="M54:R54" si="35">M2/30</f>
        <v>6</v>
      </c>
      <c r="N54" s="31">
        <f t="shared" ref="N54:O73" si="36">N2/31</f>
        <v>5</v>
      </c>
      <c r="O54" s="31">
        <f t="shared" si="36"/>
        <v>4.5</v>
      </c>
      <c r="P54" s="31">
        <f t="shared" si="35"/>
        <v>0</v>
      </c>
      <c r="Q54" s="31">
        <f>Q2/31</f>
        <v>0</v>
      </c>
      <c r="R54" s="31">
        <f t="shared" si="35"/>
        <v>6</v>
      </c>
      <c r="S54" s="31">
        <f t="shared" ref="S54:T73" si="37">S2/31</f>
        <v>6.5</v>
      </c>
      <c r="T54" s="31">
        <f t="shared" si="37"/>
        <v>6.5</v>
      </c>
      <c r="U54" s="31">
        <f>U2/28</f>
        <v>7</v>
      </c>
      <c r="V54" s="31">
        <f>V2/31</f>
        <v>7.5</v>
      </c>
      <c r="W54" s="46">
        <f>W2/304</f>
        <v>6.2417763157894735</v>
      </c>
      <c r="X54"/>
    </row>
    <row r="55" spans="1:24" x14ac:dyDescent="0.3">
      <c r="A55" s="2">
        <v>2</v>
      </c>
      <c r="B55" s="19" t="s">
        <v>5</v>
      </c>
      <c r="C55" s="3" t="s">
        <v>6</v>
      </c>
      <c r="D55" s="25">
        <f t="shared" ref="D55:E98" si="38">D3/31</f>
        <v>6</v>
      </c>
      <c r="E55" s="25">
        <f t="shared" si="38"/>
        <v>6.5</v>
      </c>
      <c r="F55" s="25">
        <f t="shared" ref="F55:F98" si="39">F3/28</f>
        <v>7</v>
      </c>
      <c r="G55" s="25">
        <f t="shared" ref="G55:G98" si="40">G3/31</f>
        <v>7</v>
      </c>
      <c r="H55" s="43">
        <f t="shared" ref="H55:H98" si="41">H3/121</f>
        <v>6.615702479338843</v>
      </c>
      <c r="J55" s="16"/>
      <c r="K55" s="31">
        <f t="shared" ref="K55:K98" si="42">K3/30</f>
        <v>7</v>
      </c>
      <c r="L55" s="25">
        <f t="shared" ref="L55:L98" si="43">L3/31</f>
        <v>6.5</v>
      </c>
      <c r="M55" s="25">
        <f t="shared" ref="M55:M98" si="44">M3/30</f>
        <v>6</v>
      </c>
      <c r="N55" s="25">
        <f t="shared" si="36"/>
        <v>5</v>
      </c>
      <c r="O55" s="25">
        <f t="shared" si="36"/>
        <v>4.5</v>
      </c>
      <c r="P55" s="25">
        <f t="shared" ref="P55:P98" si="45">P3/30</f>
        <v>0</v>
      </c>
      <c r="Q55" s="25">
        <f t="shared" ref="Q55:Q98" si="46">Q3/31</f>
        <v>0</v>
      </c>
      <c r="R55" s="25">
        <f t="shared" ref="R55:R98" si="47">R3/30</f>
        <v>6</v>
      </c>
      <c r="S55" s="25">
        <f t="shared" si="37"/>
        <v>6.5</v>
      </c>
      <c r="T55" s="25">
        <f t="shared" si="37"/>
        <v>6.5</v>
      </c>
      <c r="U55" s="25">
        <f t="shared" ref="U55:U98" si="48">U3/28</f>
        <v>7</v>
      </c>
      <c r="V55" s="25">
        <f t="shared" ref="V55:V98" si="49">V3/31</f>
        <v>7.5</v>
      </c>
      <c r="W55" s="47">
        <f t="shared" ref="W55:W67" si="50">W3/304</f>
        <v>6.2417763157894735</v>
      </c>
      <c r="X55"/>
    </row>
    <row r="56" spans="1:24" x14ac:dyDescent="0.3">
      <c r="A56" s="2">
        <v>3</v>
      </c>
      <c r="B56" s="18" t="s">
        <v>7</v>
      </c>
      <c r="C56" s="3" t="s">
        <v>8</v>
      </c>
      <c r="D56" s="25">
        <f t="shared" si="38"/>
        <v>6</v>
      </c>
      <c r="E56" s="25">
        <f t="shared" si="38"/>
        <v>6.5</v>
      </c>
      <c r="F56" s="25">
        <f t="shared" si="39"/>
        <v>7</v>
      </c>
      <c r="G56" s="25">
        <f t="shared" si="40"/>
        <v>7</v>
      </c>
      <c r="H56" s="43">
        <f t="shared" si="41"/>
        <v>6.615702479338843</v>
      </c>
      <c r="J56" s="16"/>
      <c r="K56" s="31">
        <f t="shared" si="42"/>
        <v>7</v>
      </c>
      <c r="L56" s="25">
        <f t="shared" si="43"/>
        <v>6.5</v>
      </c>
      <c r="M56" s="25">
        <f t="shared" si="44"/>
        <v>6</v>
      </c>
      <c r="N56" s="25">
        <f t="shared" si="36"/>
        <v>5</v>
      </c>
      <c r="O56" s="25">
        <f t="shared" si="36"/>
        <v>4.5</v>
      </c>
      <c r="P56" s="25">
        <f t="shared" si="45"/>
        <v>0</v>
      </c>
      <c r="Q56" s="25">
        <f t="shared" si="46"/>
        <v>0</v>
      </c>
      <c r="R56" s="25">
        <f t="shared" si="47"/>
        <v>6</v>
      </c>
      <c r="S56" s="25">
        <f t="shared" si="37"/>
        <v>6.5</v>
      </c>
      <c r="T56" s="25">
        <f t="shared" si="37"/>
        <v>6.5</v>
      </c>
      <c r="U56" s="25">
        <f t="shared" si="48"/>
        <v>7</v>
      </c>
      <c r="V56" s="25">
        <f t="shared" si="49"/>
        <v>7.5</v>
      </c>
      <c r="W56" s="47">
        <f t="shared" si="50"/>
        <v>6.2417763157894735</v>
      </c>
      <c r="X56"/>
    </row>
    <row r="57" spans="1:24" x14ac:dyDescent="0.3">
      <c r="A57" s="2">
        <v>4</v>
      </c>
      <c r="B57" s="18" t="s">
        <v>9</v>
      </c>
      <c r="C57" s="3" t="s">
        <v>10</v>
      </c>
      <c r="D57" s="25">
        <f t="shared" si="38"/>
        <v>6</v>
      </c>
      <c r="E57" s="25">
        <f t="shared" si="38"/>
        <v>6.5</v>
      </c>
      <c r="F57" s="25">
        <f t="shared" si="39"/>
        <v>7</v>
      </c>
      <c r="G57" s="25">
        <f t="shared" si="40"/>
        <v>7</v>
      </c>
      <c r="H57" s="43">
        <f t="shared" si="41"/>
        <v>6.615702479338843</v>
      </c>
      <c r="J57" s="16"/>
      <c r="K57" s="31">
        <f t="shared" si="42"/>
        <v>7</v>
      </c>
      <c r="L57" s="25">
        <f t="shared" si="43"/>
        <v>6.5</v>
      </c>
      <c r="M57" s="25">
        <f t="shared" si="44"/>
        <v>6</v>
      </c>
      <c r="N57" s="25">
        <f t="shared" si="36"/>
        <v>5</v>
      </c>
      <c r="O57" s="25">
        <f t="shared" si="36"/>
        <v>4.5</v>
      </c>
      <c r="P57" s="25">
        <f t="shared" si="45"/>
        <v>0</v>
      </c>
      <c r="Q57" s="25">
        <f t="shared" si="46"/>
        <v>0</v>
      </c>
      <c r="R57" s="25">
        <f t="shared" si="47"/>
        <v>6</v>
      </c>
      <c r="S57" s="25">
        <f t="shared" si="37"/>
        <v>6.5</v>
      </c>
      <c r="T57" s="25">
        <f t="shared" si="37"/>
        <v>6.5</v>
      </c>
      <c r="U57" s="25">
        <f t="shared" si="48"/>
        <v>7</v>
      </c>
      <c r="V57" s="25">
        <f t="shared" si="49"/>
        <v>7.5</v>
      </c>
      <c r="W57" s="47">
        <f t="shared" si="50"/>
        <v>6.2417763157894735</v>
      </c>
      <c r="X57"/>
    </row>
    <row r="58" spans="1:24" x14ac:dyDescent="0.3">
      <c r="A58" s="2">
        <v>5</v>
      </c>
      <c r="B58" s="18" t="s">
        <v>11</v>
      </c>
      <c r="C58" s="3" t="s">
        <v>12</v>
      </c>
      <c r="D58" s="25">
        <f t="shared" si="38"/>
        <v>6</v>
      </c>
      <c r="E58" s="25">
        <f t="shared" si="38"/>
        <v>6.5</v>
      </c>
      <c r="F58" s="25">
        <f t="shared" si="39"/>
        <v>7</v>
      </c>
      <c r="G58" s="25">
        <f t="shared" si="40"/>
        <v>7</v>
      </c>
      <c r="H58" s="43">
        <f t="shared" si="41"/>
        <v>6.615702479338843</v>
      </c>
      <c r="J58" s="16"/>
      <c r="K58" s="31">
        <f t="shared" si="42"/>
        <v>7</v>
      </c>
      <c r="L58" s="25">
        <f t="shared" si="43"/>
        <v>6.5</v>
      </c>
      <c r="M58" s="25">
        <f t="shared" si="44"/>
        <v>6</v>
      </c>
      <c r="N58" s="25">
        <f t="shared" si="36"/>
        <v>5</v>
      </c>
      <c r="O58" s="25">
        <f t="shared" si="36"/>
        <v>4.5</v>
      </c>
      <c r="P58" s="25">
        <f t="shared" si="45"/>
        <v>0</v>
      </c>
      <c r="Q58" s="25">
        <f t="shared" si="46"/>
        <v>0</v>
      </c>
      <c r="R58" s="25">
        <f t="shared" si="47"/>
        <v>6</v>
      </c>
      <c r="S58" s="25">
        <f t="shared" si="37"/>
        <v>6.5</v>
      </c>
      <c r="T58" s="25">
        <f t="shared" si="37"/>
        <v>6.5</v>
      </c>
      <c r="U58" s="25">
        <f t="shared" si="48"/>
        <v>7</v>
      </c>
      <c r="V58" s="25">
        <f t="shared" si="49"/>
        <v>7.5</v>
      </c>
      <c r="W58" s="47">
        <f t="shared" si="50"/>
        <v>6.2417763157894735</v>
      </c>
      <c r="X58"/>
    </row>
    <row r="59" spans="1:24" x14ac:dyDescent="0.3">
      <c r="A59" s="2">
        <v>6</v>
      </c>
      <c r="B59" s="18" t="s">
        <v>14</v>
      </c>
      <c r="C59" s="3" t="s">
        <v>13</v>
      </c>
      <c r="D59" s="25">
        <f t="shared" si="38"/>
        <v>6</v>
      </c>
      <c r="E59" s="25">
        <f t="shared" si="38"/>
        <v>6.5</v>
      </c>
      <c r="F59" s="25">
        <f t="shared" si="39"/>
        <v>7</v>
      </c>
      <c r="G59" s="25">
        <f t="shared" si="40"/>
        <v>7</v>
      </c>
      <c r="H59" s="43">
        <f t="shared" si="41"/>
        <v>6.615702479338843</v>
      </c>
      <c r="J59" s="16"/>
      <c r="K59" s="31">
        <f t="shared" si="42"/>
        <v>7</v>
      </c>
      <c r="L59" s="25">
        <f t="shared" si="43"/>
        <v>6.5</v>
      </c>
      <c r="M59" s="25">
        <f t="shared" si="44"/>
        <v>6</v>
      </c>
      <c r="N59" s="25">
        <f t="shared" si="36"/>
        <v>5</v>
      </c>
      <c r="O59" s="25">
        <f t="shared" si="36"/>
        <v>4.5</v>
      </c>
      <c r="P59" s="25">
        <f t="shared" si="45"/>
        <v>0</v>
      </c>
      <c r="Q59" s="25">
        <f t="shared" si="46"/>
        <v>0</v>
      </c>
      <c r="R59" s="25">
        <f t="shared" si="47"/>
        <v>6</v>
      </c>
      <c r="S59" s="25">
        <f t="shared" si="37"/>
        <v>6.5</v>
      </c>
      <c r="T59" s="25">
        <f t="shared" si="37"/>
        <v>6.5</v>
      </c>
      <c r="U59" s="25">
        <f t="shared" si="48"/>
        <v>7</v>
      </c>
      <c r="V59" s="25">
        <f t="shared" si="49"/>
        <v>7.5</v>
      </c>
      <c r="W59" s="47">
        <f t="shared" si="50"/>
        <v>6.2417763157894735</v>
      </c>
      <c r="X59"/>
    </row>
    <row r="60" spans="1:24" x14ac:dyDescent="0.3">
      <c r="A60" s="2">
        <v>7</v>
      </c>
      <c r="B60" s="18" t="s">
        <v>15</v>
      </c>
      <c r="C60" s="3" t="s">
        <v>16</v>
      </c>
      <c r="D60" s="25">
        <f t="shared" si="38"/>
        <v>6</v>
      </c>
      <c r="E60" s="25">
        <f t="shared" si="38"/>
        <v>6.5</v>
      </c>
      <c r="F60" s="25">
        <f t="shared" si="39"/>
        <v>7</v>
      </c>
      <c r="G60" s="25">
        <f t="shared" si="40"/>
        <v>7</v>
      </c>
      <c r="H60" s="43">
        <f t="shared" si="41"/>
        <v>6.615702479338843</v>
      </c>
      <c r="J60" s="16"/>
      <c r="K60" s="31">
        <f t="shared" si="42"/>
        <v>7</v>
      </c>
      <c r="L60" s="25">
        <f t="shared" si="43"/>
        <v>6.5</v>
      </c>
      <c r="M60" s="25">
        <f t="shared" si="44"/>
        <v>6</v>
      </c>
      <c r="N60" s="25">
        <f t="shared" si="36"/>
        <v>5</v>
      </c>
      <c r="O60" s="25">
        <f t="shared" si="36"/>
        <v>4.5</v>
      </c>
      <c r="P60" s="25">
        <f t="shared" si="45"/>
        <v>0</v>
      </c>
      <c r="Q60" s="25">
        <f t="shared" si="46"/>
        <v>0</v>
      </c>
      <c r="R60" s="25">
        <f t="shared" si="47"/>
        <v>6</v>
      </c>
      <c r="S60" s="25">
        <f t="shared" si="37"/>
        <v>6.5</v>
      </c>
      <c r="T60" s="25">
        <f t="shared" si="37"/>
        <v>6.5</v>
      </c>
      <c r="U60" s="25">
        <f t="shared" si="48"/>
        <v>7</v>
      </c>
      <c r="V60" s="25">
        <f t="shared" si="49"/>
        <v>7.5</v>
      </c>
      <c r="W60" s="47">
        <f t="shared" si="50"/>
        <v>6.2417763157894735</v>
      </c>
      <c r="X60"/>
    </row>
    <row r="61" spans="1:24" x14ac:dyDescent="0.3">
      <c r="A61" s="2">
        <v>8</v>
      </c>
      <c r="B61" s="18" t="s">
        <v>17</v>
      </c>
      <c r="C61" s="3" t="s">
        <v>18</v>
      </c>
      <c r="D61" s="25">
        <f t="shared" si="38"/>
        <v>6</v>
      </c>
      <c r="E61" s="25">
        <f t="shared" si="38"/>
        <v>6.5</v>
      </c>
      <c r="F61" s="25">
        <f t="shared" si="39"/>
        <v>7</v>
      </c>
      <c r="G61" s="25">
        <f t="shared" si="40"/>
        <v>7</v>
      </c>
      <c r="H61" s="43">
        <f t="shared" si="41"/>
        <v>6.615702479338843</v>
      </c>
      <c r="J61" s="16"/>
      <c r="K61" s="31">
        <f t="shared" si="42"/>
        <v>7</v>
      </c>
      <c r="L61" s="25">
        <f t="shared" si="43"/>
        <v>6.5</v>
      </c>
      <c r="M61" s="25">
        <f t="shared" si="44"/>
        <v>6</v>
      </c>
      <c r="N61" s="25">
        <f t="shared" si="36"/>
        <v>5</v>
      </c>
      <c r="O61" s="25">
        <f t="shared" si="36"/>
        <v>4.5</v>
      </c>
      <c r="P61" s="25">
        <f t="shared" si="45"/>
        <v>0</v>
      </c>
      <c r="Q61" s="25">
        <f t="shared" si="46"/>
        <v>0</v>
      </c>
      <c r="R61" s="25">
        <f t="shared" si="47"/>
        <v>6</v>
      </c>
      <c r="S61" s="25">
        <f t="shared" si="37"/>
        <v>6.5</v>
      </c>
      <c r="T61" s="25">
        <f t="shared" si="37"/>
        <v>6.5</v>
      </c>
      <c r="U61" s="25">
        <f t="shared" si="48"/>
        <v>7</v>
      </c>
      <c r="V61" s="25">
        <f t="shared" si="49"/>
        <v>7.5</v>
      </c>
      <c r="W61" s="47">
        <f t="shared" si="50"/>
        <v>6.2417763157894735</v>
      </c>
      <c r="X61"/>
    </row>
    <row r="62" spans="1:24" x14ac:dyDescent="0.3">
      <c r="A62" s="2">
        <v>9</v>
      </c>
      <c r="B62" s="18" t="s">
        <v>19</v>
      </c>
      <c r="C62" s="3" t="s">
        <v>20</v>
      </c>
      <c r="D62" s="25">
        <f t="shared" si="38"/>
        <v>6</v>
      </c>
      <c r="E62" s="25">
        <f t="shared" si="38"/>
        <v>6.5</v>
      </c>
      <c r="F62" s="25">
        <f t="shared" si="39"/>
        <v>7</v>
      </c>
      <c r="G62" s="25">
        <f t="shared" si="40"/>
        <v>7</v>
      </c>
      <c r="H62" s="43">
        <f t="shared" si="41"/>
        <v>6.615702479338843</v>
      </c>
      <c r="J62" s="16"/>
      <c r="K62" s="31">
        <f t="shared" si="42"/>
        <v>7</v>
      </c>
      <c r="L62" s="25">
        <f t="shared" si="43"/>
        <v>6.5</v>
      </c>
      <c r="M62" s="25">
        <f t="shared" si="44"/>
        <v>6</v>
      </c>
      <c r="N62" s="25">
        <f t="shared" si="36"/>
        <v>5</v>
      </c>
      <c r="O62" s="25">
        <f t="shared" si="36"/>
        <v>4.5</v>
      </c>
      <c r="P62" s="25">
        <f t="shared" si="45"/>
        <v>0</v>
      </c>
      <c r="Q62" s="25">
        <f t="shared" si="46"/>
        <v>0</v>
      </c>
      <c r="R62" s="25">
        <f t="shared" si="47"/>
        <v>6</v>
      </c>
      <c r="S62" s="25">
        <f t="shared" si="37"/>
        <v>6.5</v>
      </c>
      <c r="T62" s="25">
        <f t="shared" si="37"/>
        <v>6.5</v>
      </c>
      <c r="U62" s="25">
        <f t="shared" si="48"/>
        <v>7</v>
      </c>
      <c r="V62" s="25">
        <f t="shared" si="49"/>
        <v>7.5</v>
      </c>
      <c r="W62" s="47">
        <f t="shared" si="50"/>
        <v>6.2417763157894735</v>
      </c>
      <c r="X62"/>
    </row>
    <row r="63" spans="1:24" x14ac:dyDescent="0.3">
      <c r="A63" s="2">
        <v>10</v>
      </c>
      <c r="B63" s="18" t="s">
        <v>21</v>
      </c>
      <c r="C63" s="3" t="s">
        <v>22</v>
      </c>
      <c r="D63" s="25">
        <f t="shared" si="38"/>
        <v>6</v>
      </c>
      <c r="E63" s="25">
        <f t="shared" si="38"/>
        <v>6.5</v>
      </c>
      <c r="F63" s="25">
        <f t="shared" si="39"/>
        <v>7</v>
      </c>
      <c r="G63" s="25">
        <f t="shared" si="40"/>
        <v>7</v>
      </c>
      <c r="H63" s="43">
        <f t="shared" si="41"/>
        <v>6.615702479338843</v>
      </c>
      <c r="J63" s="16"/>
      <c r="K63" s="31">
        <f t="shared" si="42"/>
        <v>7</v>
      </c>
      <c r="L63" s="25">
        <f t="shared" si="43"/>
        <v>6.5</v>
      </c>
      <c r="M63" s="25">
        <f t="shared" si="44"/>
        <v>6</v>
      </c>
      <c r="N63" s="25">
        <f t="shared" si="36"/>
        <v>5</v>
      </c>
      <c r="O63" s="25">
        <f t="shared" si="36"/>
        <v>4.5</v>
      </c>
      <c r="P63" s="25">
        <f t="shared" si="45"/>
        <v>0</v>
      </c>
      <c r="Q63" s="25">
        <f t="shared" si="46"/>
        <v>0</v>
      </c>
      <c r="R63" s="25">
        <f t="shared" si="47"/>
        <v>6</v>
      </c>
      <c r="S63" s="25">
        <f t="shared" si="37"/>
        <v>6.5</v>
      </c>
      <c r="T63" s="25">
        <f t="shared" si="37"/>
        <v>6.5</v>
      </c>
      <c r="U63" s="25">
        <f t="shared" si="48"/>
        <v>7</v>
      </c>
      <c r="V63" s="25">
        <f t="shared" si="49"/>
        <v>7.5</v>
      </c>
      <c r="W63" s="47">
        <f t="shared" si="50"/>
        <v>6.2417763157894735</v>
      </c>
      <c r="X63"/>
    </row>
    <row r="64" spans="1:24" x14ac:dyDescent="0.3">
      <c r="A64" s="2">
        <v>11</v>
      </c>
      <c r="B64" s="18" t="s">
        <v>23</v>
      </c>
      <c r="C64" s="3" t="s">
        <v>26</v>
      </c>
      <c r="D64" s="25">
        <f t="shared" si="38"/>
        <v>6</v>
      </c>
      <c r="E64" s="25">
        <f t="shared" si="38"/>
        <v>6.5</v>
      </c>
      <c r="F64" s="25">
        <f t="shared" si="39"/>
        <v>7</v>
      </c>
      <c r="G64" s="25">
        <f t="shared" si="40"/>
        <v>7</v>
      </c>
      <c r="H64" s="43">
        <f t="shared" si="41"/>
        <v>6.615702479338843</v>
      </c>
      <c r="J64" s="16"/>
      <c r="K64" s="31">
        <f t="shared" si="42"/>
        <v>7</v>
      </c>
      <c r="L64" s="25">
        <f t="shared" si="43"/>
        <v>6.5</v>
      </c>
      <c r="M64" s="25">
        <f t="shared" si="44"/>
        <v>6</v>
      </c>
      <c r="N64" s="25">
        <f t="shared" si="36"/>
        <v>5</v>
      </c>
      <c r="O64" s="25">
        <f t="shared" si="36"/>
        <v>4.5</v>
      </c>
      <c r="P64" s="25">
        <f t="shared" si="45"/>
        <v>0</v>
      </c>
      <c r="Q64" s="25">
        <f t="shared" si="46"/>
        <v>0</v>
      </c>
      <c r="R64" s="25">
        <f t="shared" si="47"/>
        <v>6</v>
      </c>
      <c r="S64" s="25">
        <f t="shared" si="37"/>
        <v>6.5</v>
      </c>
      <c r="T64" s="25">
        <f t="shared" si="37"/>
        <v>6.5</v>
      </c>
      <c r="U64" s="25">
        <f t="shared" si="48"/>
        <v>7</v>
      </c>
      <c r="V64" s="25">
        <f t="shared" si="49"/>
        <v>7.5</v>
      </c>
      <c r="W64" s="47">
        <f t="shared" si="50"/>
        <v>6.2417763157894735</v>
      </c>
      <c r="X64"/>
    </row>
    <row r="65" spans="1:24" x14ac:dyDescent="0.3">
      <c r="A65" s="2">
        <v>12</v>
      </c>
      <c r="B65" s="18" t="s">
        <v>24</v>
      </c>
      <c r="C65" s="3" t="s">
        <v>25</v>
      </c>
      <c r="D65" s="25">
        <f t="shared" si="38"/>
        <v>6</v>
      </c>
      <c r="E65" s="25">
        <f t="shared" si="38"/>
        <v>6.5</v>
      </c>
      <c r="F65" s="25">
        <f t="shared" si="39"/>
        <v>7</v>
      </c>
      <c r="G65" s="25">
        <f t="shared" si="40"/>
        <v>7</v>
      </c>
      <c r="H65" s="43">
        <f t="shared" si="41"/>
        <v>6.615702479338843</v>
      </c>
      <c r="J65" s="16"/>
      <c r="K65" s="31">
        <f t="shared" si="42"/>
        <v>7</v>
      </c>
      <c r="L65" s="25">
        <f t="shared" si="43"/>
        <v>6.5</v>
      </c>
      <c r="M65" s="25">
        <f t="shared" si="44"/>
        <v>6</v>
      </c>
      <c r="N65" s="25">
        <f t="shared" si="36"/>
        <v>5</v>
      </c>
      <c r="O65" s="25">
        <f t="shared" si="36"/>
        <v>4.5</v>
      </c>
      <c r="P65" s="25">
        <f t="shared" si="45"/>
        <v>0</v>
      </c>
      <c r="Q65" s="25">
        <f t="shared" si="46"/>
        <v>0</v>
      </c>
      <c r="R65" s="25">
        <f t="shared" si="47"/>
        <v>6</v>
      </c>
      <c r="S65" s="25">
        <f t="shared" si="37"/>
        <v>6.5</v>
      </c>
      <c r="T65" s="25">
        <f t="shared" si="37"/>
        <v>6.5</v>
      </c>
      <c r="U65" s="25">
        <f t="shared" si="48"/>
        <v>7</v>
      </c>
      <c r="V65" s="25">
        <f t="shared" si="49"/>
        <v>7.5</v>
      </c>
      <c r="W65" s="47">
        <f t="shared" si="50"/>
        <v>6.2417763157894735</v>
      </c>
      <c r="X65"/>
    </row>
    <row r="66" spans="1:24" x14ac:dyDescent="0.3">
      <c r="A66" s="2">
        <v>13</v>
      </c>
      <c r="B66" s="18" t="s">
        <v>27</v>
      </c>
      <c r="C66" s="3" t="s">
        <v>28</v>
      </c>
      <c r="D66" s="25">
        <f t="shared" si="38"/>
        <v>6</v>
      </c>
      <c r="E66" s="25">
        <f t="shared" si="38"/>
        <v>6.5</v>
      </c>
      <c r="F66" s="25">
        <f t="shared" si="39"/>
        <v>7</v>
      </c>
      <c r="G66" s="25">
        <f t="shared" si="40"/>
        <v>7</v>
      </c>
      <c r="H66" s="43">
        <f t="shared" si="41"/>
        <v>6.615702479338843</v>
      </c>
      <c r="J66" s="16"/>
      <c r="K66" s="31">
        <f t="shared" si="42"/>
        <v>7</v>
      </c>
      <c r="L66" s="25">
        <f t="shared" si="43"/>
        <v>6.5</v>
      </c>
      <c r="M66" s="25">
        <f t="shared" si="44"/>
        <v>6</v>
      </c>
      <c r="N66" s="25">
        <f t="shared" si="36"/>
        <v>5</v>
      </c>
      <c r="O66" s="25">
        <f t="shared" si="36"/>
        <v>4.5</v>
      </c>
      <c r="P66" s="25">
        <f t="shared" si="45"/>
        <v>0</v>
      </c>
      <c r="Q66" s="25">
        <f t="shared" si="46"/>
        <v>0</v>
      </c>
      <c r="R66" s="25">
        <f t="shared" si="47"/>
        <v>6</v>
      </c>
      <c r="S66" s="25">
        <f t="shared" si="37"/>
        <v>6.5</v>
      </c>
      <c r="T66" s="25">
        <f t="shared" si="37"/>
        <v>6.5</v>
      </c>
      <c r="U66" s="25">
        <f t="shared" si="48"/>
        <v>7</v>
      </c>
      <c r="V66" s="25">
        <f t="shared" si="49"/>
        <v>7.5</v>
      </c>
      <c r="W66" s="47">
        <f t="shared" si="50"/>
        <v>6.2417763157894735</v>
      </c>
      <c r="X66"/>
    </row>
    <row r="67" spans="1:24" ht="15" thickBot="1" x14ac:dyDescent="0.35">
      <c r="A67" s="13">
        <v>14</v>
      </c>
      <c r="B67" s="20" t="s">
        <v>29</v>
      </c>
      <c r="C67" s="14" t="s">
        <v>30</v>
      </c>
      <c r="D67" s="27">
        <f t="shared" si="38"/>
        <v>6</v>
      </c>
      <c r="E67" s="27">
        <f t="shared" si="38"/>
        <v>6.5</v>
      </c>
      <c r="F67" s="27">
        <f t="shared" si="39"/>
        <v>7</v>
      </c>
      <c r="G67" s="27">
        <f t="shared" si="40"/>
        <v>7</v>
      </c>
      <c r="H67" s="44">
        <f t="shared" si="41"/>
        <v>6.615702479338843</v>
      </c>
      <c r="J67" s="16"/>
      <c r="K67" s="34">
        <f t="shared" si="42"/>
        <v>7</v>
      </c>
      <c r="L67" s="27">
        <f t="shared" si="43"/>
        <v>6.5</v>
      </c>
      <c r="M67" s="27">
        <f t="shared" si="44"/>
        <v>6</v>
      </c>
      <c r="N67" s="27">
        <f t="shared" si="36"/>
        <v>5</v>
      </c>
      <c r="O67" s="27">
        <f t="shared" si="36"/>
        <v>4.5</v>
      </c>
      <c r="P67" s="27">
        <f t="shared" si="45"/>
        <v>0</v>
      </c>
      <c r="Q67" s="27">
        <f t="shared" si="46"/>
        <v>0</v>
      </c>
      <c r="R67" s="27">
        <f t="shared" si="47"/>
        <v>6</v>
      </c>
      <c r="S67" s="27">
        <f t="shared" si="37"/>
        <v>6.5</v>
      </c>
      <c r="T67" s="27">
        <f t="shared" si="37"/>
        <v>6.5</v>
      </c>
      <c r="U67" s="27">
        <f t="shared" si="48"/>
        <v>7</v>
      </c>
      <c r="V67" s="27">
        <f t="shared" si="49"/>
        <v>7.5</v>
      </c>
      <c r="W67" s="48">
        <f t="shared" si="50"/>
        <v>6.2417763157894735</v>
      </c>
      <c r="X67"/>
    </row>
    <row r="68" spans="1:24" x14ac:dyDescent="0.3">
      <c r="A68" s="8">
        <v>15</v>
      </c>
      <c r="B68" s="21" t="s">
        <v>31</v>
      </c>
      <c r="C68" s="9" t="s">
        <v>32</v>
      </c>
      <c r="D68" s="29">
        <f t="shared" si="38"/>
        <v>0</v>
      </c>
      <c r="E68" s="29">
        <f t="shared" si="38"/>
        <v>6</v>
      </c>
      <c r="F68" s="29">
        <f t="shared" si="39"/>
        <v>7.1964285714285712</v>
      </c>
      <c r="G68" s="29">
        <f t="shared" si="40"/>
        <v>6.32258064516129</v>
      </c>
      <c r="H68" s="45">
        <f t="shared" si="41"/>
        <v>4.8223140495867769</v>
      </c>
      <c r="J68" s="16"/>
      <c r="K68" s="37">
        <f t="shared" si="42"/>
        <v>7.2333333333333334</v>
      </c>
      <c r="L68" s="29">
        <f t="shared" si="43"/>
        <v>6.774193548387097</v>
      </c>
      <c r="M68" s="29">
        <f t="shared" si="44"/>
        <v>6.7166666666666668</v>
      </c>
      <c r="N68" s="29">
        <f t="shared" si="36"/>
        <v>5.806451612903226</v>
      </c>
      <c r="O68" s="29">
        <f t="shared" si="36"/>
        <v>5</v>
      </c>
      <c r="P68" s="29">
        <f t="shared" si="45"/>
        <v>4.6500000000000004</v>
      </c>
      <c r="Q68" s="29">
        <f t="shared" si="46"/>
        <v>0</v>
      </c>
      <c r="R68" s="29">
        <f t="shared" si="47"/>
        <v>0</v>
      </c>
      <c r="S68" s="29">
        <f t="shared" si="37"/>
        <v>5.806451612903226</v>
      </c>
      <c r="T68" s="29">
        <f t="shared" si="37"/>
        <v>6.5</v>
      </c>
      <c r="U68" s="29">
        <f t="shared" si="48"/>
        <v>7.1964285714285712</v>
      </c>
      <c r="V68" s="29">
        <f t="shared" si="49"/>
        <v>6.32258064516129</v>
      </c>
      <c r="W68" s="46">
        <f t="shared" ref="W68:W83" si="51">W16/356</f>
        <v>5.286516853932584</v>
      </c>
      <c r="X68"/>
    </row>
    <row r="69" spans="1:24" x14ac:dyDescent="0.3">
      <c r="A69" s="2">
        <v>16</v>
      </c>
      <c r="B69" s="18" t="s">
        <v>33</v>
      </c>
      <c r="C69" s="3" t="s">
        <v>34</v>
      </c>
      <c r="D69" s="25">
        <f t="shared" si="38"/>
        <v>0</v>
      </c>
      <c r="E69" s="25">
        <f t="shared" si="38"/>
        <v>6</v>
      </c>
      <c r="F69" s="25">
        <f t="shared" si="39"/>
        <v>7.1964285714285712</v>
      </c>
      <c r="G69" s="25">
        <f t="shared" si="40"/>
        <v>6.32258064516129</v>
      </c>
      <c r="H69" s="43">
        <f t="shared" si="41"/>
        <v>4.8223140495867769</v>
      </c>
      <c r="J69" s="16"/>
      <c r="K69" s="31">
        <f t="shared" si="42"/>
        <v>7.2333333333333334</v>
      </c>
      <c r="L69" s="25">
        <f t="shared" si="43"/>
        <v>6.774193548387097</v>
      </c>
      <c r="M69" s="25">
        <f t="shared" si="44"/>
        <v>6.7166666666666668</v>
      </c>
      <c r="N69" s="25">
        <f t="shared" si="36"/>
        <v>5.806451612903226</v>
      </c>
      <c r="O69" s="25">
        <f t="shared" si="36"/>
        <v>5</v>
      </c>
      <c r="P69" s="25">
        <f t="shared" si="45"/>
        <v>4.6500000000000004</v>
      </c>
      <c r="Q69" s="25">
        <f t="shared" si="46"/>
        <v>0</v>
      </c>
      <c r="R69" s="25">
        <f t="shared" si="47"/>
        <v>0</v>
      </c>
      <c r="S69" s="25">
        <f t="shared" si="37"/>
        <v>5.806451612903226</v>
      </c>
      <c r="T69" s="25">
        <f t="shared" si="37"/>
        <v>6.5</v>
      </c>
      <c r="U69" s="25">
        <f t="shared" si="48"/>
        <v>7.1964285714285712</v>
      </c>
      <c r="V69" s="25">
        <f t="shared" si="49"/>
        <v>6.32258064516129</v>
      </c>
      <c r="W69" s="47">
        <f t="shared" si="51"/>
        <v>5.286516853932584</v>
      </c>
      <c r="X69"/>
    </row>
    <row r="70" spans="1:24" x14ac:dyDescent="0.3">
      <c r="A70" s="2">
        <v>17</v>
      </c>
      <c r="B70" s="18" t="s">
        <v>35</v>
      </c>
      <c r="C70" s="3" t="s">
        <v>36</v>
      </c>
      <c r="D70" s="25">
        <f t="shared" si="38"/>
        <v>0</v>
      </c>
      <c r="E70" s="25">
        <f t="shared" si="38"/>
        <v>6</v>
      </c>
      <c r="F70" s="25">
        <f t="shared" si="39"/>
        <v>7.1964285714285712</v>
      </c>
      <c r="G70" s="25">
        <f t="shared" si="40"/>
        <v>6.32258064516129</v>
      </c>
      <c r="H70" s="43">
        <f t="shared" si="41"/>
        <v>4.8223140495867769</v>
      </c>
      <c r="J70" s="16"/>
      <c r="K70" s="31">
        <f t="shared" si="42"/>
        <v>7.2333333333333334</v>
      </c>
      <c r="L70" s="25">
        <f t="shared" si="43"/>
        <v>6.774193548387097</v>
      </c>
      <c r="M70" s="25">
        <f t="shared" si="44"/>
        <v>6.7166666666666668</v>
      </c>
      <c r="N70" s="25">
        <f t="shared" si="36"/>
        <v>5.806451612903226</v>
      </c>
      <c r="O70" s="25">
        <f t="shared" si="36"/>
        <v>5</v>
      </c>
      <c r="P70" s="25">
        <f t="shared" si="45"/>
        <v>4.6500000000000004</v>
      </c>
      <c r="Q70" s="25">
        <f t="shared" si="46"/>
        <v>0</v>
      </c>
      <c r="R70" s="25">
        <f t="shared" si="47"/>
        <v>0</v>
      </c>
      <c r="S70" s="25">
        <f t="shared" si="37"/>
        <v>5.806451612903226</v>
      </c>
      <c r="T70" s="25">
        <f t="shared" si="37"/>
        <v>6.5</v>
      </c>
      <c r="U70" s="25">
        <f t="shared" si="48"/>
        <v>7.1964285714285712</v>
      </c>
      <c r="V70" s="25">
        <f t="shared" si="49"/>
        <v>6.32258064516129</v>
      </c>
      <c r="W70" s="47">
        <f t="shared" si="51"/>
        <v>5.286516853932584</v>
      </c>
      <c r="X70"/>
    </row>
    <row r="71" spans="1:24" x14ac:dyDescent="0.3">
      <c r="A71" s="2">
        <v>18</v>
      </c>
      <c r="B71" s="18" t="s">
        <v>37</v>
      </c>
      <c r="C71" s="3" t="s">
        <v>38</v>
      </c>
      <c r="D71" s="25">
        <f t="shared" si="38"/>
        <v>0</v>
      </c>
      <c r="E71" s="25">
        <f t="shared" si="38"/>
        <v>6</v>
      </c>
      <c r="F71" s="25">
        <f t="shared" si="39"/>
        <v>7.1964285714285712</v>
      </c>
      <c r="G71" s="25">
        <f t="shared" si="40"/>
        <v>6.32258064516129</v>
      </c>
      <c r="H71" s="43">
        <f t="shared" si="41"/>
        <v>4.8223140495867769</v>
      </c>
      <c r="J71" s="16"/>
      <c r="K71" s="31">
        <f t="shared" si="42"/>
        <v>7.2333333333333334</v>
      </c>
      <c r="L71" s="25">
        <f t="shared" si="43"/>
        <v>6.774193548387097</v>
      </c>
      <c r="M71" s="25">
        <f t="shared" si="44"/>
        <v>6.7166666666666668</v>
      </c>
      <c r="N71" s="25">
        <f t="shared" si="36"/>
        <v>5.806451612903226</v>
      </c>
      <c r="O71" s="25">
        <f t="shared" si="36"/>
        <v>5</v>
      </c>
      <c r="P71" s="25">
        <f t="shared" si="45"/>
        <v>4.6500000000000004</v>
      </c>
      <c r="Q71" s="25">
        <f t="shared" si="46"/>
        <v>0</v>
      </c>
      <c r="R71" s="25">
        <f t="shared" si="47"/>
        <v>0</v>
      </c>
      <c r="S71" s="25">
        <f t="shared" si="37"/>
        <v>5.806451612903226</v>
      </c>
      <c r="T71" s="25">
        <f t="shared" si="37"/>
        <v>6.5</v>
      </c>
      <c r="U71" s="25">
        <f t="shared" si="48"/>
        <v>7.1964285714285712</v>
      </c>
      <c r="V71" s="25">
        <f t="shared" si="49"/>
        <v>6.32258064516129</v>
      </c>
      <c r="W71" s="47">
        <f t="shared" si="51"/>
        <v>5.286516853932584</v>
      </c>
      <c r="X71"/>
    </row>
    <row r="72" spans="1:24" x14ac:dyDescent="0.3">
      <c r="A72" s="2">
        <v>19</v>
      </c>
      <c r="B72" s="18" t="s">
        <v>39</v>
      </c>
      <c r="C72" s="3" t="s">
        <v>40</v>
      </c>
      <c r="D72" s="25">
        <f t="shared" si="38"/>
        <v>0</v>
      </c>
      <c r="E72" s="25">
        <f t="shared" si="38"/>
        <v>6</v>
      </c>
      <c r="F72" s="25">
        <f t="shared" si="39"/>
        <v>7.1964285714285712</v>
      </c>
      <c r="G72" s="25">
        <f t="shared" si="40"/>
        <v>6.32258064516129</v>
      </c>
      <c r="H72" s="43">
        <f t="shared" si="41"/>
        <v>4.8223140495867769</v>
      </c>
      <c r="J72" s="16"/>
      <c r="K72" s="31">
        <f t="shared" si="42"/>
        <v>7.2333333333333334</v>
      </c>
      <c r="L72" s="25">
        <f t="shared" si="43"/>
        <v>6.774193548387097</v>
      </c>
      <c r="M72" s="25">
        <f t="shared" si="44"/>
        <v>6.7166666666666668</v>
      </c>
      <c r="N72" s="25">
        <f t="shared" si="36"/>
        <v>5.806451612903226</v>
      </c>
      <c r="O72" s="25">
        <f t="shared" si="36"/>
        <v>5</v>
      </c>
      <c r="P72" s="25">
        <f t="shared" si="45"/>
        <v>4.6500000000000004</v>
      </c>
      <c r="Q72" s="25">
        <f t="shared" si="46"/>
        <v>0</v>
      </c>
      <c r="R72" s="25">
        <f t="shared" si="47"/>
        <v>0</v>
      </c>
      <c r="S72" s="25">
        <f t="shared" si="37"/>
        <v>5.806451612903226</v>
      </c>
      <c r="T72" s="25">
        <f t="shared" si="37"/>
        <v>6.5</v>
      </c>
      <c r="U72" s="25">
        <f t="shared" si="48"/>
        <v>7.1964285714285712</v>
      </c>
      <c r="V72" s="25">
        <f t="shared" si="49"/>
        <v>6.32258064516129</v>
      </c>
      <c r="W72" s="47">
        <f t="shared" si="51"/>
        <v>5.286516853932584</v>
      </c>
      <c r="X72"/>
    </row>
    <row r="73" spans="1:24" ht="15" thickBot="1" x14ac:dyDescent="0.35">
      <c r="A73" s="13">
        <v>20</v>
      </c>
      <c r="B73" s="20" t="s">
        <v>41</v>
      </c>
      <c r="C73" s="14" t="s">
        <v>42</v>
      </c>
      <c r="D73" s="27">
        <f t="shared" si="38"/>
        <v>0</v>
      </c>
      <c r="E73" s="27">
        <f t="shared" si="38"/>
        <v>6</v>
      </c>
      <c r="F73" s="27">
        <f t="shared" si="39"/>
        <v>7.1964285714285712</v>
      </c>
      <c r="G73" s="27">
        <f t="shared" si="40"/>
        <v>6.32258064516129</v>
      </c>
      <c r="H73" s="44">
        <f t="shared" si="41"/>
        <v>4.8223140495867769</v>
      </c>
      <c r="J73" s="16"/>
      <c r="K73" s="34">
        <f t="shared" si="42"/>
        <v>7.2333333333333334</v>
      </c>
      <c r="L73" s="27">
        <f t="shared" si="43"/>
        <v>6.774193548387097</v>
      </c>
      <c r="M73" s="27">
        <f t="shared" si="44"/>
        <v>6.7166666666666668</v>
      </c>
      <c r="N73" s="27">
        <f t="shared" si="36"/>
        <v>5.806451612903226</v>
      </c>
      <c r="O73" s="27">
        <f t="shared" si="36"/>
        <v>5</v>
      </c>
      <c r="P73" s="27">
        <f t="shared" si="45"/>
        <v>4.6500000000000004</v>
      </c>
      <c r="Q73" s="27">
        <f t="shared" si="46"/>
        <v>0</v>
      </c>
      <c r="R73" s="27">
        <f t="shared" si="47"/>
        <v>0</v>
      </c>
      <c r="S73" s="27">
        <f t="shared" si="37"/>
        <v>5.806451612903226</v>
      </c>
      <c r="T73" s="27">
        <f t="shared" si="37"/>
        <v>6.5</v>
      </c>
      <c r="U73" s="27">
        <f t="shared" si="48"/>
        <v>7.1964285714285712</v>
      </c>
      <c r="V73" s="27">
        <f t="shared" si="49"/>
        <v>6.32258064516129</v>
      </c>
      <c r="W73" s="48">
        <f t="shared" si="51"/>
        <v>5.286516853932584</v>
      </c>
      <c r="X73"/>
    </row>
    <row r="74" spans="1:24" x14ac:dyDescent="0.3">
      <c r="A74" s="8">
        <v>21</v>
      </c>
      <c r="B74" s="21" t="s">
        <v>43</v>
      </c>
      <c r="C74" s="9" t="s">
        <v>44</v>
      </c>
      <c r="D74" s="29">
        <f t="shared" si="38"/>
        <v>0</v>
      </c>
      <c r="E74" s="29">
        <f t="shared" si="38"/>
        <v>0</v>
      </c>
      <c r="F74" s="29">
        <f t="shared" si="39"/>
        <v>6.6428571428571432</v>
      </c>
      <c r="G74" s="29">
        <f t="shared" si="40"/>
        <v>6.5</v>
      </c>
      <c r="H74" s="45">
        <f t="shared" si="41"/>
        <v>3.2024793388429753</v>
      </c>
      <c r="J74" s="16"/>
      <c r="K74" s="37">
        <f t="shared" si="42"/>
        <v>6.5333333333333332</v>
      </c>
      <c r="L74" s="29">
        <f t="shared" si="43"/>
        <v>7</v>
      </c>
      <c r="M74" s="29">
        <f t="shared" si="44"/>
        <v>7</v>
      </c>
      <c r="N74" s="29">
        <f t="shared" ref="N74:O93" si="52">N22/31</f>
        <v>6.5</v>
      </c>
      <c r="O74" s="29">
        <f t="shared" si="52"/>
        <v>5.806451612903226</v>
      </c>
      <c r="P74" s="29">
        <f t="shared" si="45"/>
        <v>5.166666666666667</v>
      </c>
      <c r="Q74" s="29">
        <f t="shared" si="46"/>
        <v>4.5</v>
      </c>
      <c r="R74" s="29">
        <f t="shared" si="47"/>
        <v>0</v>
      </c>
      <c r="S74" s="29">
        <f t="shared" ref="S74:T93" si="53">S22/31</f>
        <v>0</v>
      </c>
      <c r="T74" s="29">
        <f t="shared" si="53"/>
        <v>5.806451612903226</v>
      </c>
      <c r="U74" s="29">
        <f t="shared" si="48"/>
        <v>7.1964285714285712</v>
      </c>
      <c r="V74" s="29">
        <f t="shared" si="49"/>
        <v>6.5</v>
      </c>
      <c r="W74" s="46">
        <f t="shared" si="51"/>
        <v>5.286516853932584</v>
      </c>
      <c r="X74"/>
    </row>
    <row r="75" spans="1:24" x14ac:dyDescent="0.3">
      <c r="A75" s="2">
        <v>22</v>
      </c>
      <c r="B75" s="18" t="s">
        <v>45</v>
      </c>
      <c r="C75" s="3" t="s">
        <v>46</v>
      </c>
      <c r="D75" s="25">
        <f t="shared" si="38"/>
        <v>0</v>
      </c>
      <c r="E75" s="25">
        <f t="shared" si="38"/>
        <v>0</v>
      </c>
      <c r="F75" s="25">
        <f t="shared" si="39"/>
        <v>6.6428571428571432</v>
      </c>
      <c r="G75" s="25">
        <f t="shared" si="40"/>
        <v>6.5</v>
      </c>
      <c r="H75" s="43">
        <f t="shared" si="41"/>
        <v>3.2024793388429753</v>
      </c>
      <c r="J75" s="16"/>
      <c r="K75" s="31">
        <f t="shared" si="42"/>
        <v>6.5333333333333332</v>
      </c>
      <c r="L75" s="25">
        <f t="shared" si="43"/>
        <v>7</v>
      </c>
      <c r="M75" s="25">
        <f t="shared" si="44"/>
        <v>7</v>
      </c>
      <c r="N75" s="25">
        <f t="shared" si="52"/>
        <v>6.5</v>
      </c>
      <c r="O75" s="25">
        <f t="shared" si="52"/>
        <v>5.806451612903226</v>
      </c>
      <c r="P75" s="25">
        <f t="shared" si="45"/>
        <v>5.166666666666667</v>
      </c>
      <c r="Q75" s="25">
        <f t="shared" si="46"/>
        <v>4.5</v>
      </c>
      <c r="R75" s="25">
        <f t="shared" si="47"/>
        <v>0</v>
      </c>
      <c r="S75" s="25">
        <f t="shared" si="53"/>
        <v>0</v>
      </c>
      <c r="T75" s="25">
        <f t="shared" si="53"/>
        <v>5.806451612903226</v>
      </c>
      <c r="U75" s="25">
        <f t="shared" si="48"/>
        <v>7.1964285714285712</v>
      </c>
      <c r="V75" s="25">
        <f t="shared" si="49"/>
        <v>6.5</v>
      </c>
      <c r="W75" s="47">
        <f t="shared" si="51"/>
        <v>5.286516853932584</v>
      </c>
      <c r="X75"/>
    </row>
    <row r="76" spans="1:24" x14ac:dyDescent="0.3">
      <c r="A76" s="2">
        <v>23</v>
      </c>
      <c r="B76" s="18" t="s">
        <v>47</v>
      </c>
      <c r="C76" s="3" t="s">
        <v>48</v>
      </c>
      <c r="D76" s="25">
        <f t="shared" si="38"/>
        <v>0</v>
      </c>
      <c r="E76" s="25">
        <f t="shared" si="38"/>
        <v>0</v>
      </c>
      <c r="F76" s="25">
        <f t="shared" si="39"/>
        <v>6.6428571428571432</v>
      </c>
      <c r="G76" s="25">
        <f t="shared" si="40"/>
        <v>6.5</v>
      </c>
      <c r="H76" s="43">
        <f t="shared" si="41"/>
        <v>3.2024793388429753</v>
      </c>
      <c r="J76" s="16"/>
      <c r="K76" s="31">
        <f t="shared" si="42"/>
        <v>6.5333333333333332</v>
      </c>
      <c r="L76" s="25">
        <f t="shared" si="43"/>
        <v>7</v>
      </c>
      <c r="M76" s="25">
        <f t="shared" si="44"/>
        <v>7</v>
      </c>
      <c r="N76" s="25">
        <f t="shared" si="52"/>
        <v>6.5</v>
      </c>
      <c r="O76" s="25">
        <f t="shared" si="52"/>
        <v>5.806451612903226</v>
      </c>
      <c r="P76" s="25">
        <f t="shared" si="45"/>
        <v>5.166666666666667</v>
      </c>
      <c r="Q76" s="25">
        <f t="shared" si="46"/>
        <v>4.5</v>
      </c>
      <c r="R76" s="25">
        <f t="shared" si="47"/>
        <v>0</v>
      </c>
      <c r="S76" s="25">
        <f t="shared" si="53"/>
        <v>0</v>
      </c>
      <c r="T76" s="25">
        <f t="shared" si="53"/>
        <v>5.806451612903226</v>
      </c>
      <c r="U76" s="25">
        <f t="shared" si="48"/>
        <v>7.1964285714285712</v>
      </c>
      <c r="V76" s="25">
        <f t="shared" si="49"/>
        <v>6.5</v>
      </c>
      <c r="W76" s="47">
        <f t="shared" si="51"/>
        <v>5.286516853932584</v>
      </c>
      <c r="X76"/>
    </row>
    <row r="77" spans="1:24" ht="15" thickBot="1" x14ac:dyDescent="0.35">
      <c r="A77" s="13">
        <v>24</v>
      </c>
      <c r="B77" s="20" t="s">
        <v>49</v>
      </c>
      <c r="C77" s="14" t="s">
        <v>52</v>
      </c>
      <c r="D77" s="27">
        <f t="shared" si="38"/>
        <v>0</v>
      </c>
      <c r="E77" s="27">
        <f t="shared" si="38"/>
        <v>0</v>
      </c>
      <c r="F77" s="27">
        <f t="shared" si="39"/>
        <v>6.6428571428571432</v>
      </c>
      <c r="G77" s="27">
        <f t="shared" si="40"/>
        <v>6.5</v>
      </c>
      <c r="H77" s="44">
        <f t="shared" si="41"/>
        <v>3.2024793388429753</v>
      </c>
      <c r="J77" s="16"/>
      <c r="K77" s="34">
        <f t="shared" si="42"/>
        <v>6.5333333333333332</v>
      </c>
      <c r="L77" s="27">
        <f t="shared" si="43"/>
        <v>7</v>
      </c>
      <c r="M77" s="27">
        <f t="shared" si="44"/>
        <v>7</v>
      </c>
      <c r="N77" s="27">
        <f t="shared" si="52"/>
        <v>6.5</v>
      </c>
      <c r="O77" s="27">
        <f t="shared" si="52"/>
        <v>5.806451612903226</v>
      </c>
      <c r="P77" s="27">
        <f t="shared" si="45"/>
        <v>5.166666666666667</v>
      </c>
      <c r="Q77" s="27">
        <f t="shared" si="46"/>
        <v>4.5</v>
      </c>
      <c r="R77" s="27">
        <f t="shared" si="47"/>
        <v>0</v>
      </c>
      <c r="S77" s="27">
        <f t="shared" si="53"/>
        <v>0</v>
      </c>
      <c r="T77" s="27">
        <f t="shared" si="53"/>
        <v>5.806451612903226</v>
      </c>
      <c r="U77" s="27">
        <f t="shared" si="48"/>
        <v>7.1964285714285712</v>
      </c>
      <c r="V77" s="27">
        <f t="shared" si="49"/>
        <v>6.5</v>
      </c>
      <c r="W77" s="48">
        <f t="shared" si="51"/>
        <v>5.286516853932584</v>
      </c>
      <c r="X77"/>
    </row>
    <row r="78" spans="1:24" x14ac:dyDescent="0.3">
      <c r="A78" s="8">
        <v>25</v>
      </c>
      <c r="B78" s="21" t="s">
        <v>51</v>
      </c>
      <c r="C78" s="9" t="s">
        <v>50</v>
      </c>
      <c r="D78" s="29">
        <f t="shared" si="38"/>
        <v>0</v>
      </c>
      <c r="E78" s="29">
        <f t="shared" si="38"/>
        <v>0</v>
      </c>
      <c r="F78" s="29">
        <f t="shared" si="39"/>
        <v>0</v>
      </c>
      <c r="G78" s="29">
        <f t="shared" si="40"/>
        <v>6</v>
      </c>
      <c r="H78" s="45">
        <f t="shared" si="41"/>
        <v>1.5371900826446281</v>
      </c>
      <c r="J78" s="16"/>
      <c r="K78" s="37">
        <f t="shared" si="42"/>
        <v>6.7166666666666668</v>
      </c>
      <c r="L78" s="29">
        <f t="shared" si="43"/>
        <v>6.32258064516129</v>
      </c>
      <c r="M78" s="29">
        <f t="shared" si="44"/>
        <v>7.2333333333333334</v>
      </c>
      <c r="N78" s="29">
        <f t="shared" si="52"/>
        <v>6.774193548387097</v>
      </c>
      <c r="O78" s="29">
        <f t="shared" si="52"/>
        <v>6.5</v>
      </c>
      <c r="P78" s="29">
        <f t="shared" si="45"/>
        <v>6</v>
      </c>
      <c r="Q78" s="29">
        <f t="shared" si="46"/>
        <v>5</v>
      </c>
      <c r="R78" s="29">
        <f t="shared" si="47"/>
        <v>4.6500000000000004</v>
      </c>
      <c r="S78" s="29">
        <f t="shared" si="53"/>
        <v>0</v>
      </c>
      <c r="T78" s="29">
        <f t="shared" si="53"/>
        <v>0</v>
      </c>
      <c r="U78" s="29">
        <f t="shared" si="48"/>
        <v>6.4285714285714288</v>
      </c>
      <c r="V78" s="29">
        <f t="shared" si="49"/>
        <v>6.5</v>
      </c>
      <c r="W78" s="46">
        <f t="shared" si="51"/>
        <v>5.286516853932584</v>
      </c>
      <c r="X78"/>
    </row>
    <row r="79" spans="1:24" x14ac:dyDescent="0.3">
      <c r="A79" s="2">
        <v>26</v>
      </c>
      <c r="B79" s="18" t="s">
        <v>53</v>
      </c>
      <c r="C79" s="3" t="s">
        <v>54</v>
      </c>
      <c r="D79" s="25">
        <f t="shared" si="38"/>
        <v>0</v>
      </c>
      <c r="E79" s="25">
        <f t="shared" si="38"/>
        <v>0</v>
      </c>
      <c r="F79" s="25">
        <f t="shared" si="39"/>
        <v>0</v>
      </c>
      <c r="G79" s="25">
        <f t="shared" si="40"/>
        <v>6</v>
      </c>
      <c r="H79" s="43">
        <f t="shared" si="41"/>
        <v>1.5371900826446281</v>
      </c>
      <c r="J79" s="16"/>
      <c r="K79" s="31">
        <f t="shared" si="42"/>
        <v>6.7166666666666668</v>
      </c>
      <c r="L79" s="25">
        <f t="shared" si="43"/>
        <v>6.32258064516129</v>
      </c>
      <c r="M79" s="25">
        <f t="shared" si="44"/>
        <v>7.2333333333333334</v>
      </c>
      <c r="N79" s="25">
        <f t="shared" si="52"/>
        <v>6.774193548387097</v>
      </c>
      <c r="O79" s="25">
        <f t="shared" si="52"/>
        <v>6.5</v>
      </c>
      <c r="P79" s="25">
        <f t="shared" si="45"/>
        <v>6</v>
      </c>
      <c r="Q79" s="25">
        <f t="shared" si="46"/>
        <v>5</v>
      </c>
      <c r="R79" s="25">
        <f t="shared" si="47"/>
        <v>4.6500000000000004</v>
      </c>
      <c r="S79" s="25">
        <f t="shared" si="53"/>
        <v>0</v>
      </c>
      <c r="T79" s="25">
        <f t="shared" si="53"/>
        <v>0</v>
      </c>
      <c r="U79" s="25">
        <f t="shared" si="48"/>
        <v>6.4285714285714288</v>
      </c>
      <c r="V79" s="25">
        <f t="shared" si="49"/>
        <v>6.5</v>
      </c>
      <c r="W79" s="47">
        <f t="shared" si="51"/>
        <v>5.286516853932584</v>
      </c>
      <c r="X79"/>
    </row>
    <row r="80" spans="1:24" x14ac:dyDescent="0.3">
      <c r="A80" s="2">
        <v>27</v>
      </c>
      <c r="B80" s="18" t="s">
        <v>55</v>
      </c>
      <c r="C80" s="3" t="s">
        <v>56</v>
      </c>
      <c r="D80" s="25">
        <f t="shared" si="38"/>
        <v>0</v>
      </c>
      <c r="E80" s="25">
        <f t="shared" si="38"/>
        <v>0</v>
      </c>
      <c r="F80" s="25">
        <f t="shared" si="39"/>
        <v>0</v>
      </c>
      <c r="G80" s="25">
        <f t="shared" si="40"/>
        <v>6</v>
      </c>
      <c r="H80" s="43">
        <f t="shared" si="41"/>
        <v>1.5371900826446281</v>
      </c>
      <c r="J80" s="16"/>
      <c r="K80" s="31">
        <f t="shared" si="42"/>
        <v>6.7166666666666668</v>
      </c>
      <c r="L80" s="25">
        <f t="shared" si="43"/>
        <v>6.32258064516129</v>
      </c>
      <c r="M80" s="25">
        <f t="shared" si="44"/>
        <v>7.2333333333333334</v>
      </c>
      <c r="N80" s="25">
        <f t="shared" si="52"/>
        <v>6.774193548387097</v>
      </c>
      <c r="O80" s="25">
        <f t="shared" si="52"/>
        <v>6.5</v>
      </c>
      <c r="P80" s="25">
        <f t="shared" si="45"/>
        <v>6</v>
      </c>
      <c r="Q80" s="25">
        <f t="shared" si="46"/>
        <v>5</v>
      </c>
      <c r="R80" s="25">
        <f t="shared" si="47"/>
        <v>4.6500000000000004</v>
      </c>
      <c r="S80" s="25">
        <f t="shared" si="53"/>
        <v>0</v>
      </c>
      <c r="T80" s="25">
        <f t="shared" si="53"/>
        <v>0</v>
      </c>
      <c r="U80" s="25">
        <f t="shared" si="48"/>
        <v>6.4285714285714288</v>
      </c>
      <c r="V80" s="25">
        <f t="shared" si="49"/>
        <v>6.5</v>
      </c>
      <c r="W80" s="47">
        <f t="shared" si="51"/>
        <v>5.286516853932584</v>
      </c>
      <c r="X80"/>
    </row>
    <row r="81" spans="1:24" x14ac:dyDescent="0.3">
      <c r="A81" s="2">
        <v>28</v>
      </c>
      <c r="B81" s="18" t="s">
        <v>57</v>
      </c>
      <c r="C81" s="3" t="s">
        <v>58</v>
      </c>
      <c r="D81" s="25">
        <f t="shared" si="38"/>
        <v>0</v>
      </c>
      <c r="E81" s="25">
        <f t="shared" si="38"/>
        <v>0</v>
      </c>
      <c r="F81" s="25">
        <f t="shared" si="39"/>
        <v>0</v>
      </c>
      <c r="G81" s="25">
        <f t="shared" si="40"/>
        <v>6</v>
      </c>
      <c r="H81" s="43">
        <f t="shared" si="41"/>
        <v>1.5371900826446281</v>
      </c>
      <c r="J81" s="16"/>
      <c r="K81" s="31">
        <f t="shared" si="42"/>
        <v>6.7166666666666668</v>
      </c>
      <c r="L81" s="25">
        <f t="shared" si="43"/>
        <v>6.32258064516129</v>
      </c>
      <c r="M81" s="25">
        <f t="shared" si="44"/>
        <v>7.2333333333333334</v>
      </c>
      <c r="N81" s="25">
        <f t="shared" si="52"/>
        <v>6.774193548387097</v>
      </c>
      <c r="O81" s="25">
        <f t="shared" si="52"/>
        <v>6.5</v>
      </c>
      <c r="P81" s="25">
        <f t="shared" si="45"/>
        <v>6</v>
      </c>
      <c r="Q81" s="25">
        <f t="shared" si="46"/>
        <v>5</v>
      </c>
      <c r="R81" s="25">
        <f t="shared" si="47"/>
        <v>4.6500000000000004</v>
      </c>
      <c r="S81" s="25">
        <f t="shared" si="53"/>
        <v>0</v>
      </c>
      <c r="T81" s="25">
        <f t="shared" si="53"/>
        <v>0</v>
      </c>
      <c r="U81" s="25">
        <f t="shared" si="48"/>
        <v>6.4285714285714288</v>
      </c>
      <c r="V81" s="25">
        <f t="shared" si="49"/>
        <v>6.5</v>
      </c>
      <c r="W81" s="47">
        <f t="shared" si="51"/>
        <v>5.286516853932584</v>
      </c>
      <c r="X81"/>
    </row>
    <row r="82" spans="1:24" ht="15" thickBot="1" x14ac:dyDescent="0.35">
      <c r="A82" s="13">
        <v>29</v>
      </c>
      <c r="B82" s="20" t="s">
        <v>59</v>
      </c>
      <c r="C82" s="14" t="s">
        <v>60</v>
      </c>
      <c r="D82" s="27">
        <f t="shared" si="38"/>
        <v>0</v>
      </c>
      <c r="E82" s="27">
        <f t="shared" si="38"/>
        <v>0</v>
      </c>
      <c r="F82" s="27">
        <f t="shared" si="39"/>
        <v>0</v>
      </c>
      <c r="G82" s="27">
        <f t="shared" si="40"/>
        <v>6</v>
      </c>
      <c r="H82" s="44">
        <f t="shared" si="41"/>
        <v>1.5371900826446281</v>
      </c>
      <c r="J82" s="16"/>
      <c r="K82" s="34">
        <f t="shared" si="42"/>
        <v>6.7166666666666668</v>
      </c>
      <c r="L82" s="27">
        <f t="shared" si="43"/>
        <v>6.32258064516129</v>
      </c>
      <c r="M82" s="27">
        <f t="shared" si="44"/>
        <v>7.2333333333333334</v>
      </c>
      <c r="N82" s="27">
        <f t="shared" si="52"/>
        <v>6.774193548387097</v>
      </c>
      <c r="O82" s="27">
        <f t="shared" si="52"/>
        <v>6.5</v>
      </c>
      <c r="P82" s="27">
        <f t="shared" si="45"/>
        <v>6</v>
      </c>
      <c r="Q82" s="27">
        <f t="shared" si="46"/>
        <v>5</v>
      </c>
      <c r="R82" s="27">
        <f t="shared" si="47"/>
        <v>4.6500000000000004</v>
      </c>
      <c r="S82" s="27">
        <f t="shared" si="53"/>
        <v>0</v>
      </c>
      <c r="T82" s="27">
        <f t="shared" si="53"/>
        <v>0</v>
      </c>
      <c r="U82" s="27">
        <f t="shared" si="48"/>
        <v>6.4285714285714288</v>
      </c>
      <c r="V82" s="27">
        <f t="shared" si="49"/>
        <v>6.5</v>
      </c>
      <c r="W82" s="48">
        <f t="shared" si="51"/>
        <v>5.286516853932584</v>
      </c>
      <c r="X82"/>
    </row>
    <row r="83" spans="1:24" x14ac:dyDescent="0.3">
      <c r="A83" s="8">
        <v>30</v>
      </c>
      <c r="B83" s="21" t="s">
        <v>73</v>
      </c>
      <c r="C83" s="9" t="s">
        <v>74</v>
      </c>
      <c r="D83" s="29">
        <f t="shared" si="38"/>
        <v>0</v>
      </c>
      <c r="E83" s="29">
        <f t="shared" si="38"/>
        <v>0</v>
      </c>
      <c r="F83" s="29">
        <f t="shared" si="39"/>
        <v>0</v>
      </c>
      <c r="G83" s="29">
        <f t="shared" si="40"/>
        <v>0</v>
      </c>
      <c r="H83" s="45">
        <f t="shared" si="41"/>
        <v>0</v>
      </c>
      <c r="J83" s="16"/>
      <c r="K83" s="37">
        <f t="shared" si="42"/>
        <v>6.2</v>
      </c>
      <c r="L83" s="29">
        <f t="shared" si="43"/>
        <v>6.5</v>
      </c>
      <c r="M83" s="29">
        <f t="shared" si="44"/>
        <v>6.5333333333333332</v>
      </c>
      <c r="N83" s="29">
        <f t="shared" si="52"/>
        <v>7</v>
      </c>
      <c r="O83" s="29">
        <f t="shared" si="52"/>
        <v>6.774193548387097</v>
      </c>
      <c r="P83" s="29">
        <f t="shared" si="45"/>
        <v>6.7166666666666668</v>
      </c>
      <c r="Q83" s="29">
        <f t="shared" si="46"/>
        <v>5.806451612903226</v>
      </c>
      <c r="R83" s="29">
        <f t="shared" si="47"/>
        <v>5.166666666666667</v>
      </c>
      <c r="S83" s="29">
        <f t="shared" si="53"/>
        <v>4.5</v>
      </c>
      <c r="T83" s="29">
        <f t="shared" si="53"/>
        <v>0</v>
      </c>
      <c r="U83" s="29">
        <f t="shared" si="48"/>
        <v>0</v>
      </c>
      <c r="V83" s="29">
        <f t="shared" si="49"/>
        <v>6.5</v>
      </c>
      <c r="W83" s="46">
        <f t="shared" si="51"/>
        <v>5.3033707865168536</v>
      </c>
      <c r="X83"/>
    </row>
    <row r="84" spans="1:24" x14ac:dyDescent="0.3">
      <c r="A84" s="2">
        <v>31</v>
      </c>
      <c r="B84" s="18" t="s">
        <v>61</v>
      </c>
      <c r="C84" s="3" t="s">
        <v>62</v>
      </c>
      <c r="D84" s="25">
        <f t="shared" si="38"/>
        <v>0</v>
      </c>
      <c r="E84" s="25">
        <f t="shared" si="38"/>
        <v>0</v>
      </c>
      <c r="F84" s="25">
        <f t="shared" si="39"/>
        <v>0</v>
      </c>
      <c r="G84" s="25">
        <f t="shared" si="40"/>
        <v>0</v>
      </c>
      <c r="H84" s="43">
        <f t="shared" si="41"/>
        <v>0</v>
      </c>
      <c r="J84" s="16"/>
      <c r="K84" s="31">
        <f t="shared" si="42"/>
        <v>0</v>
      </c>
      <c r="L84" s="25">
        <f t="shared" si="43"/>
        <v>6</v>
      </c>
      <c r="M84" s="25">
        <f t="shared" si="44"/>
        <v>6.7166666666666668</v>
      </c>
      <c r="N84" s="25">
        <f t="shared" si="52"/>
        <v>6.32258064516129</v>
      </c>
      <c r="O84" s="25">
        <f t="shared" si="52"/>
        <v>7</v>
      </c>
      <c r="P84" s="25">
        <f t="shared" si="45"/>
        <v>7</v>
      </c>
      <c r="Q84" s="25">
        <f t="shared" si="46"/>
        <v>6.5</v>
      </c>
      <c r="R84" s="25">
        <f t="shared" si="47"/>
        <v>6</v>
      </c>
      <c r="S84" s="25">
        <f t="shared" si="53"/>
        <v>5</v>
      </c>
      <c r="T84" s="25">
        <f t="shared" si="53"/>
        <v>0</v>
      </c>
      <c r="U84" s="25">
        <f t="shared" si="48"/>
        <v>0</v>
      </c>
      <c r="V84" s="25">
        <f t="shared" si="49"/>
        <v>5.806451612903226</v>
      </c>
      <c r="W84" s="47">
        <f t="shared" ref="W84:W98" si="54">W32/356</f>
        <v>4.8511235955056176</v>
      </c>
      <c r="X84"/>
    </row>
    <row r="85" spans="1:24" x14ac:dyDescent="0.3">
      <c r="A85" s="2">
        <v>32</v>
      </c>
      <c r="B85" s="18" t="s">
        <v>63</v>
      </c>
      <c r="C85" s="3" t="s">
        <v>64</v>
      </c>
      <c r="D85" s="25">
        <f t="shared" si="38"/>
        <v>0</v>
      </c>
      <c r="E85" s="25">
        <f t="shared" si="38"/>
        <v>0</v>
      </c>
      <c r="F85" s="25">
        <f t="shared" si="39"/>
        <v>0</v>
      </c>
      <c r="G85" s="25">
        <f t="shared" si="40"/>
        <v>0</v>
      </c>
      <c r="H85" s="43">
        <f t="shared" si="41"/>
        <v>0</v>
      </c>
      <c r="J85" s="16"/>
      <c r="K85" s="31">
        <f t="shared" si="42"/>
        <v>0</v>
      </c>
      <c r="L85" s="25">
        <f t="shared" si="43"/>
        <v>6</v>
      </c>
      <c r="M85" s="25">
        <f t="shared" si="44"/>
        <v>6.7166666666666668</v>
      </c>
      <c r="N85" s="25">
        <f t="shared" si="52"/>
        <v>6.32258064516129</v>
      </c>
      <c r="O85" s="25">
        <f t="shared" si="52"/>
        <v>7</v>
      </c>
      <c r="P85" s="25">
        <f t="shared" si="45"/>
        <v>7</v>
      </c>
      <c r="Q85" s="25">
        <f t="shared" si="46"/>
        <v>6.5</v>
      </c>
      <c r="R85" s="25">
        <f t="shared" si="47"/>
        <v>6</v>
      </c>
      <c r="S85" s="25">
        <f t="shared" si="53"/>
        <v>5</v>
      </c>
      <c r="T85" s="25">
        <f t="shared" si="53"/>
        <v>0</v>
      </c>
      <c r="U85" s="25">
        <f t="shared" si="48"/>
        <v>0</v>
      </c>
      <c r="V85" s="25">
        <f t="shared" si="49"/>
        <v>5.806451612903226</v>
      </c>
      <c r="W85" s="47">
        <f t="shared" si="54"/>
        <v>4.8511235955056176</v>
      </c>
      <c r="X85"/>
    </row>
    <row r="86" spans="1:24" x14ac:dyDescent="0.3">
      <c r="A86" s="2">
        <v>33</v>
      </c>
      <c r="B86" s="18" t="s">
        <v>65</v>
      </c>
      <c r="C86" s="3" t="s">
        <v>66</v>
      </c>
      <c r="D86" s="25">
        <f t="shared" si="38"/>
        <v>0</v>
      </c>
      <c r="E86" s="25">
        <f t="shared" si="38"/>
        <v>0</v>
      </c>
      <c r="F86" s="25">
        <f t="shared" si="39"/>
        <v>0</v>
      </c>
      <c r="G86" s="25">
        <f t="shared" si="40"/>
        <v>0</v>
      </c>
      <c r="H86" s="43">
        <f t="shared" si="41"/>
        <v>0</v>
      </c>
      <c r="J86" s="16"/>
      <c r="K86" s="31">
        <f t="shared" si="42"/>
        <v>0</v>
      </c>
      <c r="L86" s="25">
        <f t="shared" si="43"/>
        <v>0</v>
      </c>
      <c r="M86" s="25">
        <f t="shared" si="44"/>
        <v>6.2</v>
      </c>
      <c r="N86" s="25">
        <f t="shared" si="52"/>
        <v>6.5</v>
      </c>
      <c r="O86" s="25">
        <f t="shared" si="52"/>
        <v>6.32258064516129</v>
      </c>
      <c r="P86" s="25">
        <f t="shared" si="45"/>
        <v>7.2333333333333334</v>
      </c>
      <c r="Q86" s="25">
        <f t="shared" si="46"/>
        <v>6.774193548387097</v>
      </c>
      <c r="R86" s="25">
        <f t="shared" si="47"/>
        <v>6.7166666666666668</v>
      </c>
      <c r="S86" s="25">
        <f t="shared" si="53"/>
        <v>5.806451612903226</v>
      </c>
      <c r="T86" s="25">
        <f t="shared" si="53"/>
        <v>5</v>
      </c>
      <c r="U86" s="25">
        <f t="shared" si="48"/>
        <v>0</v>
      </c>
      <c r="V86" s="25">
        <f t="shared" si="49"/>
        <v>0</v>
      </c>
      <c r="W86" s="47">
        <f t="shared" si="54"/>
        <v>4.345505617977528</v>
      </c>
      <c r="X86"/>
    </row>
    <row r="87" spans="1:24" x14ac:dyDescent="0.3">
      <c r="A87" s="2">
        <v>34</v>
      </c>
      <c r="B87" s="18" t="s">
        <v>67</v>
      </c>
      <c r="C87" s="3" t="s">
        <v>68</v>
      </c>
      <c r="D87" s="25">
        <f t="shared" si="38"/>
        <v>0</v>
      </c>
      <c r="E87" s="25">
        <f t="shared" si="38"/>
        <v>0</v>
      </c>
      <c r="F87" s="25">
        <f t="shared" si="39"/>
        <v>0</v>
      </c>
      <c r="G87" s="25">
        <f t="shared" si="40"/>
        <v>0</v>
      </c>
      <c r="H87" s="43">
        <f t="shared" si="41"/>
        <v>0</v>
      </c>
      <c r="J87" s="16"/>
      <c r="K87" s="31">
        <f t="shared" si="42"/>
        <v>0</v>
      </c>
      <c r="L87" s="25">
        <f t="shared" si="43"/>
        <v>0</v>
      </c>
      <c r="M87" s="25">
        <f t="shared" si="44"/>
        <v>6.2</v>
      </c>
      <c r="N87" s="25">
        <f t="shared" si="52"/>
        <v>6.5</v>
      </c>
      <c r="O87" s="25">
        <f t="shared" si="52"/>
        <v>6.32258064516129</v>
      </c>
      <c r="P87" s="25">
        <f t="shared" si="45"/>
        <v>7.2333333333333334</v>
      </c>
      <c r="Q87" s="25">
        <f t="shared" si="46"/>
        <v>6.774193548387097</v>
      </c>
      <c r="R87" s="25">
        <f t="shared" si="47"/>
        <v>6.7166666666666668</v>
      </c>
      <c r="S87" s="25">
        <f t="shared" si="53"/>
        <v>5.806451612903226</v>
      </c>
      <c r="T87" s="25">
        <f t="shared" si="53"/>
        <v>5</v>
      </c>
      <c r="U87" s="25">
        <f t="shared" si="48"/>
        <v>0</v>
      </c>
      <c r="V87" s="25">
        <f t="shared" si="49"/>
        <v>0</v>
      </c>
      <c r="W87" s="47">
        <f t="shared" si="54"/>
        <v>4.345505617977528</v>
      </c>
      <c r="X87"/>
    </row>
    <row r="88" spans="1:24" x14ac:dyDescent="0.3">
      <c r="A88" s="2">
        <v>35</v>
      </c>
      <c r="B88" s="18" t="s">
        <v>69</v>
      </c>
      <c r="C88" s="3" t="s">
        <v>70</v>
      </c>
      <c r="D88" s="25">
        <f t="shared" si="38"/>
        <v>0</v>
      </c>
      <c r="E88" s="25">
        <f t="shared" si="38"/>
        <v>0</v>
      </c>
      <c r="F88" s="25">
        <f t="shared" si="39"/>
        <v>0</v>
      </c>
      <c r="G88" s="25">
        <f t="shared" si="40"/>
        <v>0</v>
      </c>
      <c r="H88" s="43">
        <f t="shared" si="41"/>
        <v>0</v>
      </c>
      <c r="J88" s="16"/>
      <c r="K88" s="31">
        <f t="shared" si="42"/>
        <v>0</v>
      </c>
      <c r="L88" s="25">
        <f t="shared" si="43"/>
        <v>0</v>
      </c>
      <c r="M88" s="25">
        <f t="shared" si="44"/>
        <v>6.2</v>
      </c>
      <c r="N88" s="25">
        <f t="shared" si="52"/>
        <v>6.5</v>
      </c>
      <c r="O88" s="25">
        <f t="shared" si="52"/>
        <v>6.32258064516129</v>
      </c>
      <c r="P88" s="25">
        <f t="shared" si="45"/>
        <v>7.2333333333333334</v>
      </c>
      <c r="Q88" s="25">
        <f t="shared" si="46"/>
        <v>6.774193548387097</v>
      </c>
      <c r="R88" s="25">
        <f t="shared" si="47"/>
        <v>6.7166666666666668</v>
      </c>
      <c r="S88" s="25">
        <f t="shared" si="53"/>
        <v>5.806451612903226</v>
      </c>
      <c r="T88" s="25">
        <f t="shared" si="53"/>
        <v>5</v>
      </c>
      <c r="U88" s="25">
        <f t="shared" si="48"/>
        <v>0</v>
      </c>
      <c r="V88" s="25">
        <f t="shared" si="49"/>
        <v>0</v>
      </c>
      <c r="W88" s="47">
        <f t="shared" si="54"/>
        <v>4.345505617977528</v>
      </c>
      <c r="X88"/>
    </row>
    <row r="89" spans="1:24" ht="15" thickBot="1" x14ac:dyDescent="0.35">
      <c r="A89" s="13">
        <v>36</v>
      </c>
      <c r="B89" s="20" t="s">
        <v>71</v>
      </c>
      <c r="C89" s="14" t="s">
        <v>72</v>
      </c>
      <c r="D89" s="27">
        <f t="shared" si="38"/>
        <v>0</v>
      </c>
      <c r="E89" s="27">
        <f t="shared" si="38"/>
        <v>0</v>
      </c>
      <c r="F89" s="27">
        <f t="shared" si="39"/>
        <v>0</v>
      </c>
      <c r="G89" s="27">
        <f t="shared" si="40"/>
        <v>0</v>
      </c>
      <c r="H89" s="44">
        <f t="shared" si="41"/>
        <v>0</v>
      </c>
      <c r="J89" s="16"/>
      <c r="K89" s="34">
        <f t="shared" si="42"/>
        <v>0</v>
      </c>
      <c r="L89" s="27">
        <f t="shared" si="43"/>
        <v>0</v>
      </c>
      <c r="M89" s="27">
        <f t="shared" si="44"/>
        <v>0</v>
      </c>
      <c r="N89" s="27">
        <f t="shared" si="52"/>
        <v>0</v>
      </c>
      <c r="O89" s="27">
        <f t="shared" si="52"/>
        <v>6</v>
      </c>
      <c r="P89" s="27">
        <f t="shared" si="45"/>
        <v>6.7166666666666668</v>
      </c>
      <c r="Q89" s="27">
        <f t="shared" si="46"/>
        <v>6.32258064516129</v>
      </c>
      <c r="R89" s="27">
        <f t="shared" si="47"/>
        <v>7.2333333333333334</v>
      </c>
      <c r="S89" s="27">
        <f t="shared" si="53"/>
        <v>6.774193548387097</v>
      </c>
      <c r="T89" s="27">
        <f t="shared" si="53"/>
        <v>6.5</v>
      </c>
      <c r="U89" s="27">
        <f t="shared" si="48"/>
        <v>6.4285714285714288</v>
      </c>
      <c r="V89" s="27">
        <f t="shared" si="49"/>
        <v>5</v>
      </c>
      <c r="W89" s="48">
        <f t="shared" si="54"/>
        <v>4.345505617977528</v>
      </c>
      <c r="X89"/>
    </row>
    <row r="90" spans="1:24" x14ac:dyDescent="0.3">
      <c r="A90" s="8">
        <v>37</v>
      </c>
      <c r="B90" s="21" t="s">
        <v>75</v>
      </c>
      <c r="C90" s="9" t="s">
        <v>76</v>
      </c>
      <c r="D90" s="29">
        <f t="shared" si="38"/>
        <v>6.5</v>
      </c>
      <c r="E90" s="29">
        <f t="shared" si="38"/>
        <v>6.32258064516129</v>
      </c>
      <c r="F90" s="29">
        <f t="shared" si="39"/>
        <v>7.75</v>
      </c>
      <c r="G90" s="29">
        <f t="shared" si="40"/>
        <v>6.774193548387097</v>
      </c>
      <c r="H90" s="45">
        <f t="shared" si="41"/>
        <v>6.8140495867768598</v>
      </c>
      <c r="J90" s="16"/>
      <c r="K90" s="37">
        <f t="shared" si="42"/>
        <v>6.7166666666666668</v>
      </c>
      <c r="L90" s="29">
        <f t="shared" si="43"/>
        <v>5.806451612903226</v>
      </c>
      <c r="M90" s="29">
        <f t="shared" si="44"/>
        <v>5.166666666666667</v>
      </c>
      <c r="N90" s="29">
        <f t="shared" si="52"/>
        <v>4.5</v>
      </c>
      <c r="O90" s="29">
        <f t="shared" si="52"/>
        <v>0</v>
      </c>
      <c r="P90" s="29">
        <f t="shared" si="45"/>
        <v>0</v>
      </c>
      <c r="Q90" s="29">
        <f t="shared" si="46"/>
        <v>0</v>
      </c>
      <c r="R90" s="29">
        <f t="shared" si="47"/>
        <v>6</v>
      </c>
      <c r="S90" s="29">
        <f t="shared" si="53"/>
        <v>6.5</v>
      </c>
      <c r="T90" s="29">
        <f t="shared" si="53"/>
        <v>6.5</v>
      </c>
      <c r="U90" s="29">
        <f t="shared" si="48"/>
        <v>7</v>
      </c>
      <c r="V90" s="29">
        <f t="shared" si="49"/>
        <v>7.5</v>
      </c>
      <c r="W90" s="46">
        <f t="shared" si="54"/>
        <v>4.7401685393258424</v>
      </c>
      <c r="X90"/>
    </row>
    <row r="91" spans="1:24" x14ac:dyDescent="0.3">
      <c r="A91" s="2">
        <v>38</v>
      </c>
      <c r="B91" s="18" t="s">
        <v>77</v>
      </c>
      <c r="C91" s="3" t="s">
        <v>78</v>
      </c>
      <c r="D91" s="25">
        <f t="shared" si="38"/>
        <v>6.32258064516129</v>
      </c>
      <c r="E91" s="25">
        <f t="shared" si="38"/>
        <v>7</v>
      </c>
      <c r="F91" s="25">
        <f t="shared" si="39"/>
        <v>7.5</v>
      </c>
      <c r="G91" s="25">
        <f t="shared" si="40"/>
        <v>6.5</v>
      </c>
      <c r="H91" s="43">
        <f t="shared" si="41"/>
        <v>6.8140495867768598</v>
      </c>
      <c r="J91" s="16"/>
      <c r="K91" s="31">
        <f t="shared" si="42"/>
        <v>6</v>
      </c>
      <c r="L91" s="25">
        <f t="shared" si="43"/>
        <v>5</v>
      </c>
      <c r="M91" s="25">
        <f t="shared" si="44"/>
        <v>4.6500000000000004</v>
      </c>
      <c r="N91" s="25">
        <f t="shared" si="52"/>
        <v>0</v>
      </c>
      <c r="O91" s="25">
        <f t="shared" si="52"/>
        <v>0</v>
      </c>
      <c r="P91" s="25">
        <f t="shared" si="45"/>
        <v>6.2</v>
      </c>
      <c r="Q91" s="25">
        <f t="shared" si="46"/>
        <v>6.5</v>
      </c>
      <c r="R91" s="25">
        <f t="shared" si="47"/>
        <v>6.5333333333333332</v>
      </c>
      <c r="S91" s="25">
        <f t="shared" si="53"/>
        <v>7</v>
      </c>
      <c r="T91" s="25">
        <f t="shared" si="53"/>
        <v>6.774193548387097</v>
      </c>
      <c r="U91" s="25">
        <f t="shared" si="48"/>
        <v>7.1964285714285712</v>
      </c>
      <c r="V91" s="25">
        <f t="shared" si="49"/>
        <v>5.806451612903226</v>
      </c>
      <c r="W91" s="47">
        <f t="shared" si="54"/>
        <v>5.242977528089888</v>
      </c>
      <c r="X91"/>
    </row>
    <row r="92" spans="1:24" x14ac:dyDescent="0.3">
      <c r="A92" s="2">
        <v>39</v>
      </c>
      <c r="B92" s="18" t="s">
        <v>79</v>
      </c>
      <c r="C92" s="3" t="s">
        <v>80</v>
      </c>
      <c r="D92" s="25">
        <f t="shared" si="38"/>
        <v>7</v>
      </c>
      <c r="E92" s="25">
        <f t="shared" si="38"/>
        <v>6.774193548387097</v>
      </c>
      <c r="F92" s="25">
        <f t="shared" si="39"/>
        <v>7.1964285714285712</v>
      </c>
      <c r="G92" s="25">
        <f t="shared" si="40"/>
        <v>5.806451612903226</v>
      </c>
      <c r="H92" s="43">
        <f t="shared" si="41"/>
        <v>6.6818181818181817</v>
      </c>
      <c r="J92" s="16"/>
      <c r="K92" s="31">
        <f t="shared" si="42"/>
        <v>5.166666666666667</v>
      </c>
      <c r="L92" s="25">
        <f t="shared" si="43"/>
        <v>4.5</v>
      </c>
      <c r="M92" s="25">
        <f t="shared" si="44"/>
        <v>0</v>
      </c>
      <c r="N92" s="25">
        <f t="shared" si="52"/>
        <v>0</v>
      </c>
      <c r="O92" s="25">
        <f t="shared" si="52"/>
        <v>6</v>
      </c>
      <c r="P92" s="25">
        <f t="shared" si="45"/>
        <v>6.7166666666666668</v>
      </c>
      <c r="Q92" s="25">
        <f t="shared" si="46"/>
        <v>6.32258064516129</v>
      </c>
      <c r="R92" s="25">
        <f t="shared" si="47"/>
        <v>7.2333333333333334</v>
      </c>
      <c r="S92" s="25">
        <f t="shared" si="53"/>
        <v>6.774193548387097</v>
      </c>
      <c r="T92" s="25">
        <f t="shared" si="53"/>
        <v>6.5</v>
      </c>
      <c r="U92" s="25">
        <f t="shared" si="48"/>
        <v>6.4285714285714288</v>
      </c>
      <c r="V92" s="25">
        <f t="shared" si="49"/>
        <v>5</v>
      </c>
      <c r="W92" s="47">
        <f t="shared" si="54"/>
        <v>5.172752808988764</v>
      </c>
      <c r="X92"/>
    </row>
    <row r="93" spans="1:24" x14ac:dyDescent="0.3">
      <c r="A93" s="2">
        <v>40</v>
      </c>
      <c r="B93" s="18" t="s">
        <v>81</v>
      </c>
      <c r="C93" s="3" t="s">
        <v>82</v>
      </c>
      <c r="D93" s="25">
        <f t="shared" si="38"/>
        <v>6.5</v>
      </c>
      <c r="E93" s="25">
        <f t="shared" si="38"/>
        <v>6.5</v>
      </c>
      <c r="F93" s="25">
        <f t="shared" si="39"/>
        <v>7.1964285714285712</v>
      </c>
      <c r="G93" s="25">
        <f t="shared" si="40"/>
        <v>0</v>
      </c>
      <c r="H93" s="43">
        <f t="shared" si="41"/>
        <v>4.9958677685950414</v>
      </c>
      <c r="J93" s="16"/>
      <c r="K93" s="31">
        <f t="shared" si="42"/>
        <v>5.166666666666667</v>
      </c>
      <c r="L93" s="25">
        <f t="shared" si="43"/>
        <v>4.5</v>
      </c>
      <c r="M93" s="25">
        <f t="shared" si="44"/>
        <v>0</v>
      </c>
      <c r="N93" s="25">
        <f t="shared" si="52"/>
        <v>0</v>
      </c>
      <c r="O93" s="25">
        <f t="shared" si="52"/>
        <v>6</v>
      </c>
      <c r="P93" s="25">
        <f t="shared" si="45"/>
        <v>6.7166666666666668</v>
      </c>
      <c r="Q93" s="25">
        <f t="shared" si="46"/>
        <v>6.32258064516129</v>
      </c>
      <c r="R93" s="25">
        <f t="shared" si="47"/>
        <v>7.2333333333333334</v>
      </c>
      <c r="S93" s="25">
        <f t="shared" si="53"/>
        <v>6.774193548387097</v>
      </c>
      <c r="T93" s="25">
        <f t="shared" si="53"/>
        <v>6.5</v>
      </c>
      <c r="U93" s="25">
        <f t="shared" si="48"/>
        <v>6.4285714285714288</v>
      </c>
      <c r="V93" s="25">
        <f t="shared" si="49"/>
        <v>5</v>
      </c>
      <c r="W93" s="47">
        <f t="shared" si="54"/>
        <v>5.172752808988764</v>
      </c>
      <c r="X93"/>
    </row>
    <row r="94" spans="1:24" x14ac:dyDescent="0.3">
      <c r="A94" s="2">
        <v>41</v>
      </c>
      <c r="B94" s="18" t="s">
        <v>83</v>
      </c>
      <c r="C94" s="3" t="s">
        <v>84</v>
      </c>
      <c r="D94" s="25">
        <f t="shared" si="38"/>
        <v>6.5</v>
      </c>
      <c r="E94" s="25">
        <f t="shared" si="38"/>
        <v>6.5</v>
      </c>
      <c r="F94" s="25">
        <f t="shared" si="39"/>
        <v>7.1964285714285712</v>
      </c>
      <c r="G94" s="25">
        <f t="shared" si="40"/>
        <v>6.5</v>
      </c>
      <c r="H94" s="43">
        <f t="shared" si="41"/>
        <v>6.661157024793388</v>
      </c>
      <c r="J94" s="16"/>
      <c r="K94" s="31">
        <f t="shared" si="42"/>
        <v>6.7166666666666668</v>
      </c>
      <c r="L94" s="25">
        <f t="shared" si="43"/>
        <v>6.5</v>
      </c>
      <c r="M94" s="25">
        <f t="shared" si="44"/>
        <v>6.7166666666666668</v>
      </c>
      <c r="N94" s="25">
        <f t="shared" ref="N94:O98" si="55">N42/31</f>
        <v>6.5</v>
      </c>
      <c r="O94" s="25">
        <f t="shared" si="55"/>
        <v>0</v>
      </c>
      <c r="P94" s="25">
        <f t="shared" si="45"/>
        <v>0</v>
      </c>
      <c r="Q94" s="25">
        <f t="shared" si="46"/>
        <v>0</v>
      </c>
      <c r="R94" s="25">
        <f t="shared" si="47"/>
        <v>0</v>
      </c>
      <c r="S94" s="25">
        <f t="shared" ref="S94:T98" si="56">S42/31</f>
        <v>0</v>
      </c>
      <c r="T94" s="25">
        <f t="shared" si="56"/>
        <v>0</v>
      </c>
      <c r="U94" s="25">
        <f t="shared" si="48"/>
        <v>0</v>
      </c>
      <c r="V94" s="25">
        <f t="shared" si="49"/>
        <v>0</v>
      </c>
      <c r="W94" s="47">
        <f t="shared" si="54"/>
        <v>2.2640449438202248</v>
      </c>
      <c r="X94"/>
    </row>
    <row r="95" spans="1:24" x14ac:dyDescent="0.3">
      <c r="A95" s="2">
        <v>42</v>
      </c>
      <c r="B95" s="18" t="s">
        <v>85</v>
      </c>
      <c r="C95" s="3" t="s">
        <v>86</v>
      </c>
      <c r="D95" s="25">
        <f t="shared" si="38"/>
        <v>0</v>
      </c>
      <c r="E95" s="25">
        <f t="shared" si="38"/>
        <v>0</v>
      </c>
      <c r="F95" s="25">
        <f t="shared" si="39"/>
        <v>0</v>
      </c>
      <c r="G95" s="25">
        <f t="shared" si="40"/>
        <v>0</v>
      </c>
      <c r="H95" s="43">
        <f t="shared" si="41"/>
        <v>0</v>
      </c>
      <c r="J95" s="16"/>
      <c r="K95" s="31">
        <f t="shared" si="42"/>
        <v>0</v>
      </c>
      <c r="L95" s="25">
        <f t="shared" si="43"/>
        <v>0</v>
      </c>
      <c r="M95" s="25">
        <f t="shared" si="44"/>
        <v>0</v>
      </c>
      <c r="N95" s="25">
        <f t="shared" si="55"/>
        <v>0</v>
      </c>
      <c r="O95" s="25">
        <f t="shared" si="55"/>
        <v>0</v>
      </c>
      <c r="P95" s="25">
        <f t="shared" si="45"/>
        <v>0</v>
      </c>
      <c r="Q95" s="25">
        <f t="shared" si="46"/>
        <v>0</v>
      </c>
      <c r="R95" s="25">
        <f t="shared" si="47"/>
        <v>0</v>
      </c>
      <c r="S95" s="25">
        <f t="shared" si="56"/>
        <v>0</v>
      </c>
      <c r="T95" s="25">
        <f t="shared" si="56"/>
        <v>0</v>
      </c>
      <c r="U95" s="25">
        <f t="shared" si="48"/>
        <v>0</v>
      </c>
      <c r="V95" s="25">
        <f t="shared" si="49"/>
        <v>0</v>
      </c>
      <c r="W95" s="47">
        <f t="shared" si="54"/>
        <v>0</v>
      </c>
      <c r="X95"/>
    </row>
    <row r="96" spans="1:24" x14ac:dyDescent="0.3">
      <c r="A96" s="2">
        <v>43</v>
      </c>
      <c r="B96" s="18" t="s">
        <v>87</v>
      </c>
      <c r="C96" s="3" t="s">
        <v>90</v>
      </c>
      <c r="D96" s="25">
        <f t="shared" si="38"/>
        <v>0</v>
      </c>
      <c r="E96" s="25">
        <f t="shared" si="38"/>
        <v>0</v>
      </c>
      <c r="F96" s="25">
        <f t="shared" si="39"/>
        <v>0</v>
      </c>
      <c r="G96" s="25">
        <f t="shared" si="40"/>
        <v>0</v>
      </c>
      <c r="H96" s="43">
        <f t="shared" si="41"/>
        <v>0</v>
      </c>
      <c r="J96" s="16"/>
      <c r="K96" s="31">
        <f t="shared" si="42"/>
        <v>0</v>
      </c>
      <c r="L96" s="25">
        <f t="shared" si="43"/>
        <v>0</v>
      </c>
      <c r="M96" s="25">
        <f t="shared" si="44"/>
        <v>0</v>
      </c>
      <c r="N96" s="25">
        <f t="shared" si="55"/>
        <v>0</v>
      </c>
      <c r="O96" s="25">
        <f t="shared" si="55"/>
        <v>0</v>
      </c>
      <c r="P96" s="25">
        <f t="shared" si="45"/>
        <v>0</v>
      </c>
      <c r="Q96" s="25">
        <f t="shared" si="46"/>
        <v>0</v>
      </c>
      <c r="R96" s="25">
        <f t="shared" si="47"/>
        <v>0</v>
      </c>
      <c r="S96" s="25">
        <f t="shared" si="56"/>
        <v>0</v>
      </c>
      <c r="T96" s="25">
        <f t="shared" si="56"/>
        <v>0</v>
      </c>
      <c r="U96" s="25">
        <f t="shared" si="48"/>
        <v>0</v>
      </c>
      <c r="V96" s="25">
        <f t="shared" si="49"/>
        <v>0</v>
      </c>
      <c r="W96" s="47">
        <f t="shared" si="54"/>
        <v>0</v>
      </c>
      <c r="X96"/>
    </row>
    <row r="97" spans="1:24" x14ac:dyDescent="0.3">
      <c r="A97" s="2">
        <v>44</v>
      </c>
      <c r="B97" s="18" t="s">
        <v>88</v>
      </c>
      <c r="C97" s="3" t="s">
        <v>89</v>
      </c>
      <c r="D97" s="25">
        <f t="shared" si="38"/>
        <v>6</v>
      </c>
      <c r="E97" s="25">
        <f t="shared" si="38"/>
        <v>6.5</v>
      </c>
      <c r="F97" s="25">
        <f t="shared" si="39"/>
        <v>7</v>
      </c>
      <c r="G97" s="25">
        <f t="shared" si="40"/>
        <v>7</v>
      </c>
      <c r="H97" s="43">
        <f t="shared" si="41"/>
        <v>6.615702479338843</v>
      </c>
      <c r="J97" s="16"/>
      <c r="K97" s="31">
        <f t="shared" si="42"/>
        <v>7</v>
      </c>
      <c r="L97" s="25">
        <f t="shared" si="43"/>
        <v>6.5</v>
      </c>
      <c r="M97" s="25">
        <f t="shared" si="44"/>
        <v>6</v>
      </c>
      <c r="N97" s="25">
        <f t="shared" si="55"/>
        <v>5</v>
      </c>
      <c r="O97" s="25">
        <f t="shared" si="55"/>
        <v>4.5</v>
      </c>
      <c r="P97" s="25">
        <f t="shared" si="45"/>
        <v>0</v>
      </c>
      <c r="Q97" s="25">
        <f t="shared" si="46"/>
        <v>0</v>
      </c>
      <c r="R97" s="25">
        <f t="shared" si="47"/>
        <v>6</v>
      </c>
      <c r="S97" s="25">
        <f t="shared" si="56"/>
        <v>6.5</v>
      </c>
      <c r="T97" s="25">
        <f t="shared" si="56"/>
        <v>6.5</v>
      </c>
      <c r="U97" s="25">
        <f t="shared" si="48"/>
        <v>7</v>
      </c>
      <c r="V97" s="25">
        <f t="shared" si="49"/>
        <v>7.5</v>
      </c>
      <c r="W97" s="47">
        <f t="shared" si="54"/>
        <v>5.3300561797752808</v>
      </c>
      <c r="X97"/>
    </row>
    <row r="98" spans="1:24" x14ac:dyDescent="0.3">
      <c r="A98" s="2">
        <v>45</v>
      </c>
      <c r="B98" s="18" t="s">
        <v>91</v>
      </c>
      <c r="C98" s="3" t="s">
        <v>92</v>
      </c>
      <c r="D98" s="25">
        <f t="shared" si="38"/>
        <v>6</v>
      </c>
      <c r="E98" s="25">
        <f t="shared" si="38"/>
        <v>6.5</v>
      </c>
      <c r="F98" s="25">
        <f t="shared" si="39"/>
        <v>7</v>
      </c>
      <c r="G98" s="25">
        <f t="shared" si="40"/>
        <v>7</v>
      </c>
      <c r="H98" s="43">
        <f t="shared" si="41"/>
        <v>6.615702479338843</v>
      </c>
      <c r="J98" s="16"/>
      <c r="K98" s="31">
        <f t="shared" si="42"/>
        <v>7</v>
      </c>
      <c r="L98" s="25">
        <f t="shared" si="43"/>
        <v>6.5</v>
      </c>
      <c r="M98" s="25">
        <f t="shared" si="44"/>
        <v>6</v>
      </c>
      <c r="N98" s="25">
        <f t="shared" si="55"/>
        <v>5</v>
      </c>
      <c r="O98" s="25">
        <f t="shared" si="55"/>
        <v>4.5</v>
      </c>
      <c r="P98" s="25">
        <f t="shared" si="45"/>
        <v>0</v>
      </c>
      <c r="Q98" s="25">
        <f t="shared" si="46"/>
        <v>0</v>
      </c>
      <c r="R98" s="25">
        <f t="shared" si="47"/>
        <v>6</v>
      </c>
      <c r="S98" s="25">
        <f t="shared" si="56"/>
        <v>6.5</v>
      </c>
      <c r="T98" s="25">
        <f t="shared" si="56"/>
        <v>6.5</v>
      </c>
      <c r="U98" s="25">
        <f t="shared" si="48"/>
        <v>7</v>
      </c>
      <c r="V98" s="25">
        <f t="shared" si="49"/>
        <v>7.5</v>
      </c>
      <c r="W98" s="47">
        <f t="shared" si="54"/>
        <v>5.3300561797752808</v>
      </c>
      <c r="X98"/>
    </row>
    <row r="99" spans="1:24" x14ac:dyDescent="0.3">
      <c r="D99" s="49">
        <f>SUM(D54:D98)</f>
        <v>128.82258064516128</v>
      </c>
      <c r="E99" s="49">
        <f t="shared" ref="E99:W99" si="57">SUM(E54:E98)</f>
        <v>173.09677419354838</v>
      </c>
      <c r="F99" s="49">
        <f t="shared" si="57"/>
        <v>218.58928571428575</v>
      </c>
      <c r="G99" s="49">
        <f t="shared" si="57"/>
        <v>231.51612903225808</v>
      </c>
      <c r="H99" s="49">
        <f t="shared" si="57"/>
        <v>187.24793388429754</v>
      </c>
      <c r="I99" s="49">
        <f t="shared" si="57"/>
        <v>0</v>
      </c>
      <c r="J99" s="49">
        <f t="shared" si="57"/>
        <v>0</v>
      </c>
      <c r="K99" s="49">
        <f t="shared" si="57"/>
        <v>251.08333333333329</v>
      </c>
      <c r="L99" s="49">
        <f t="shared" si="57"/>
        <v>249.06451612903226</v>
      </c>
      <c r="M99" s="49">
        <f t="shared" si="57"/>
        <v>255.56666666666658</v>
      </c>
      <c r="N99" s="49">
        <f t="shared" si="57"/>
        <v>224.85483870967747</v>
      </c>
      <c r="O99" s="49">
        <f t="shared" si="57"/>
        <v>215.46774193548387</v>
      </c>
      <c r="P99" s="49">
        <f t="shared" si="57"/>
        <v>147.33333333333334</v>
      </c>
      <c r="Q99" s="49">
        <f t="shared" si="57"/>
        <v>107.59677419354841</v>
      </c>
      <c r="R99" s="49">
        <f t="shared" si="57"/>
        <v>190.79999999999998</v>
      </c>
      <c r="S99" s="49">
        <f t="shared" si="57"/>
        <v>204.58064516129039</v>
      </c>
      <c r="T99" s="49">
        <f t="shared" si="57"/>
        <v>214.00000000000003</v>
      </c>
      <c r="U99" s="49">
        <f t="shared" si="57"/>
        <v>249.58928571428569</v>
      </c>
      <c r="V99" s="49">
        <f t="shared" si="57"/>
        <v>262.85483870967744</v>
      </c>
      <c r="W99" s="49">
        <f t="shared" si="57"/>
        <v>232.32307066824376</v>
      </c>
    </row>
  </sheetData>
  <mergeCells count="6">
    <mergeCell ref="D51:I51"/>
    <mergeCell ref="K51:X51"/>
    <mergeCell ref="D52:G52"/>
    <mergeCell ref="K52:V52"/>
    <mergeCell ref="W52:W53"/>
    <mergeCell ref="H52:H53"/>
  </mergeCells>
  <pageMargins left="0.7" right="0.7" top="0.75" bottom="0.75" header="0.3" footer="0.3"/>
  <pageSetup orientation="portrait" r:id="rId1"/>
  <ignoredErrors>
    <ignoredError sqref="B2:B40 B41:B47 B54:B98" numberStoredAsText="1"/>
    <ignoredError sqref="T39 F54:F93 F94:F98 L54:V98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9"/>
  <sheetViews>
    <sheetView workbookViewId="0"/>
  </sheetViews>
  <sheetFormatPr defaultRowHeight="14.4" x14ac:dyDescent="0.3"/>
  <cols>
    <col min="1" max="1" width="8.88671875" style="237"/>
    <col min="2" max="2" width="13.109375" style="311" bestFit="1" customWidth="1"/>
    <col min="3" max="3" width="12.109375" style="311" customWidth="1"/>
    <col min="4" max="7" width="9.109375" style="237" customWidth="1"/>
    <col min="8" max="8" width="10.109375" style="237" customWidth="1"/>
    <col min="9" max="9" width="9.109375" style="237" customWidth="1"/>
    <col min="10" max="21" width="8.88671875" style="237"/>
    <col min="22" max="22" width="11.88671875" style="310" customWidth="1"/>
  </cols>
  <sheetData>
    <row r="1" spans="1:26" s="12" customFormat="1" ht="28.8" x14ac:dyDescent="0.3">
      <c r="A1" s="279" t="s">
        <v>0</v>
      </c>
      <c r="B1" s="280" t="s">
        <v>1</v>
      </c>
      <c r="C1" s="280" t="s">
        <v>2</v>
      </c>
      <c r="D1" s="268">
        <v>44166</v>
      </c>
      <c r="E1" s="268">
        <v>44197</v>
      </c>
      <c r="F1" s="268">
        <v>44228</v>
      </c>
      <c r="G1" s="268">
        <v>44256</v>
      </c>
      <c r="H1" s="281" t="s">
        <v>170</v>
      </c>
      <c r="I1" s="282"/>
      <c r="J1" s="283">
        <v>44287</v>
      </c>
      <c r="K1" s="283">
        <v>44317</v>
      </c>
      <c r="L1" s="283">
        <v>44348</v>
      </c>
      <c r="M1" s="283">
        <v>44378</v>
      </c>
      <c r="N1" s="283">
        <v>44409</v>
      </c>
      <c r="O1" s="283">
        <v>44440</v>
      </c>
      <c r="P1" s="283">
        <v>44470</v>
      </c>
      <c r="Q1" s="283">
        <v>44501</v>
      </c>
      <c r="R1" s="283">
        <v>44531</v>
      </c>
      <c r="S1" s="283">
        <v>44562</v>
      </c>
      <c r="T1" s="283">
        <v>44593</v>
      </c>
      <c r="U1" s="283">
        <v>44621</v>
      </c>
      <c r="V1" s="284"/>
      <c r="W1" s="7"/>
      <c r="X1" s="7"/>
      <c r="Y1" s="7"/>
      <c r="Z1" s="7"/>
    </row>
    <row r="2" spans="1:26" x14ac:dyDescent="0.3">
      <c r="A2" s="52">
        <v>1</v>
      </c>
      <c r="B2" s="52" t="s">
        <v>65</v>
      </c>
      <c r="C2" s="156" t="s">
        <v>66</v>
      </c>
      <c r="D2" s="269">
        <f>D59*$D$54</f>
        <v>62</v>
      </c>
      <c r="E2" s="269">
        <f t="shared" ref="E2:G2" si="0">E59*$D$54</f>
        <v>46.5</v>
      </c>
      <c r="F2" s="269">
        <f t="shared" si="0"/>
        <v>0</v>
      </c>
      <c r="G2" s="269">
        <f t="shared" si="0"/>
        <v>0</v>
      </c>
      <c r="H2" s="285">
        <f>SUM(D2:G2)</f>
        <v>108.5</v>
      </c>
      <c r="I2" s="286"/>
      <c r="J2" s="287">
        <f>J59*$J$54</f>
        <v>0</v>
      </c>
      <c r="K2" s="287">
        <f t="shared" ref="K2:U2" si="1">K59*$J$54</f>
        <v>0</v>
      </c>
      <c r="L2" s="287">
        <f t="shared" si="1"/>
        <v>0</v>
      </c>
      <c r="M2" s="287">
        <f t="shared" si="1"/>
        <v>0</v>
      </c>
      <c r="N2" s="287">
        <f t="shared" si="1"/>
        <v>0</v>
      </c>
      <c r="O2" s="287">
        <f t="shared" si="1"/>
        <v>90</v>
      </c>
      <c r="P2" s="287">
        <f t="shared" si="1"/>
        <v>90</v>
      </c>
      <c r="Q2" s="287">
        <f t="shared" si="1"/>
        <v>75</v>
      </c>
      <c r="R2" s="287">
        <f t="shared" si="1"/>
        <v>75</v>
      </c>
      <c r="S2" s="287">
        <f t="shared" si="1"/>
        <v>75</v>
      </c>
      <c r="T2" s="287">
        <f t="shared" si="1"/>
        <v>60</v>
      </c>
      <c r="U2" s="287">
        <f t="shared" si="1"/>
        <v>45</v>
      </c>
      <c r="V2" s="288">
        <f>SUM(J2:U2)</f>
        <v>510</v>
      </c>
    </row>
    <row r="3" spans="1:26" x14ac:dyDescent="0.3">
      <c r="A3" s="52">
        <v>2</v>
      </c>
      <c r="B3" s="21" t="s">
        <v>73</v>
      </c>
      <c r="C3" s="289" t="s">
        <v>74</v>
      </c>
      <c r="D3" s="269">
        <f t="shared" ref="D3:G19" si="2">D60*$D$54</f>
        <v>139.5</v>
      </c>
      <c r="E3" s="269">
        <f t="shared" si="2"/>
        <v>93</v>
      </c>
      <c r="F3" s="269">
        <f t="shared" si="2"/>
        <v>0</v>
      </c>
      <c r="G3" s="269">
        <f t="shared" si="2"/>
        <v>0</v>
      </c>
      <c r="H3" s="285">
        <f t="shared" ref="H3:H48" si="3">SUM(D3:G3)</f>
        <v>232.5</v>
      </c>
      <c r="I3" s="286"/>
      <c r="J3" s="287">
        <f t="shared" ref="J3:U4" si="4">J60*$J$54</f>
        <v>0</v>
      </c>
      <c r="K3" s="287">
        <f t="shared" si="4"/>
        <v>135</v>
      </c>
      <c r="L3" s="287">
        <f t="shared" si="4"/>
        <v>165</v>
      </c>
      <c r="M3" s="287">
        <f t="shared" si="4"/>
        <v>180</v>
      </c>
      <c r="N3" s="287">
        <f t="shared" si="4"/>
        <v>195</v>
      </c>
      <c r="O3" s="287">
        <f t="shared" si="4"/>
        <v>210</v>
      </c>
      <c r="P3" s="287">
        <f t="shared" si="4"/>
        <v>210</v>
      </c>
      <c r="Q3" s="287">
        <f t="shared" si="4"/>
        <v>195</v>
      </c>
      <c r="R3" s="287">
        <f t="shared" si="4"/>
        <v>180</v>
      </c>
      <c r="S3" s="287">
        <f t="shared" si="4"/>
        <v>135</v>
      </c>
      <c r="T3" s="287">
        <f t="shared" si="4"/>
        <v>90</v>
      </c>
      <c r="U3" s="287">
        <f t="shared" si="4"/>
        <v>0</v>
      </c>
      <c r="V3" s="288">
        <f t="shared" ref="V3:V46" si="5">SUM(J3:U3)</f>
        <v>1695</v>
      </c>
    </row>
    <row r="4" spans="1:26" x14ac:dyDescent="0.3">
      <c r="A4" s="52">
        <v>3</v>
      </c>
      <c r="B4" s="18" t="s">
        <v>69</v>
      </c>
      <c r="C4" s="290" t="s">
        <v>70</v>
      </c>
      <c r="D4" s="269">
        <f t="shared" si="2"/>
        <v>139.5</v>
      </c>
      <c r="E4" s="269">
        <f t="shared" si="2"/>
        <v>155</v>
      </c>
      <c r="F4" s="269">
        <f t="shared" si="2"/>
        <v>124</v>
      </c>
      <c r="G4" s="269">
        <f t="shared" si="2"/>
        <v>77.5</v>
      </c>
      <c r="H4" s="285">
        <f t="shared" si="3"/>
        <v>496</v>
      </c>
      <c r="I4" s="286"/>
      <c r="J4" s="287">
        <f t="shared" si="4"/>
        <v>0</v>
      </c>
      <c r="K4" s="287">
        <f t="shared" si="4"/>
        <v>0</v>
      </c>
      <c r="L4" s="287">
        <f t="shared" si="4"/>
        <v>0</v>
      </c>
      <c r="M4" s="287">
        <f t="shared" si="4"/>
        <v>0</v>
      </c>
      <c r="N4" s="287">
        <f t="shared" si="4"/>
        <v>0</v>
      </c>
      <c r="O4" s="287">
        <f t="shared" si="4"/>
        <v>0</v>
      </c>
      <c r="P4" s="287">
        <f t="shared" si="4"/>
        <v>0</v>
      </c>
      <c r="Q4" s="287">
        <f t="shared" si="4"/>
        <v>0</v>
      </c>
      <c r="R4" s="287">
        <f t="shared" si="4"/>
        <v>0</v>
      </c>
      <c r="S4" s="287">
        <f t="shared" si="4"/>
        <v>90</v>
      </c>
      <c r="T4" s="287">
        <f t="shared" si="4"/>
        <v>135</v>
      </c>
      <c r="U4" s="287">
        <f t="shared" si="4"/>
        <v>180</v>
      </c>
      <c r="V4" s="288">
        <f t="shared" si="5"/>
        <v>405</v>
      </c>
    </row>
    <row r="5" spans="1:26" x14ac:dyDescent="0.3">
      <c r="A5" s="52">
        <v>4</v>
      </c>
      <c r="B5" s="52" t="s">
        <v>174</v>
      </c>
      <c r="C5" s="156"/>
      <c r="D5" s="269">
        <f t="shared" si="2"/>
        <v>155</v>
      </c>
      <c r="E5" s="269">
        <f t="shared" si="2"/>
        <v>155</v>
      </c>
      <c r="F5" s="269">
        <f t="shared" si="2"/>
        <v>186</v>
      </c>
      <c r="G5" s="269">
        <f t="shared" si="2"/>
        <v>201.5</v>
      </c>
      <c r="H5" s="285">
        <f t="shared" si="3"/>
        <v>697.5</v>
      </c>
      <c r="I5" s="286"/>
      <c r="J5" s="287">
        <f t="shared" ref="J5:U5" si="6">J62*$J$54</f>
        <v>195</v>
      </c>
      <c r="K5" s="287">
        <f t="shared" si="6"/>
        <v>150</v>
      </c>
      <c r="L5" s="287">
        <f t="shared" si="6"/>
        <v>135</v>
      </c>
      <c r="M5" s="287">
        <f t="shared" si="6"/>
        <v>120</v>
      </c>
      <c r="N5" s="287">
        <f t="shared" si="6"/>
        <v>90</v>
      </c>
      <c r="O5" s="287">
        <f t="shared" si="6"/>
        <v>0</v>
      </c>
      <c r="P5" s="287">
        <f t="shared" si="6"/>
        <v>0</v>
      </c>
      <c r="Q5" s="287">
        <f t="shared" si="6"/>
        <v>0</v>
      </c>
      <c r="R5" s="287">
        <f t="shared" si="6"/>
        <v>0</v>
      </c>
      <c r="S5" s="287">
        <f t="shared" si="6"/>
        <v>120</v>
      </c>
      <c r="T5" s="287">
        <f t="shared" si="6"/>
        <v>150</v>
      </c>
      <c r="U5" s="287">
        <f t="shared" si="6"/>
        <v>180</v>
      </c>
      <c r="V5" s="288">
        <f>SUM(J5:U5)</f>
        <v>1140</v>
      </c>
    </row>
    <row r="6" spans="1:26" x14ac:dyDescent="0.3">
      <c r="A6" s="52">
        <v>5</v>
      </c>
      <c r="B6" s="52" t="s">
        <v>175</v>
      </c>
      <c r="C6" s="156"/>
      <c r="D6" s="269">
        <f t="shared" si="2"/>
        <v>155</v>
      </c>
      <c r="E6" s="269">
        <f t="shared" si="2"/>
        <v>170.5</v>
      </c>
      <c r="F6" s="269">
        <f t="shared" si="2"/>
        <v>186</v>
      </c>
      <c r="G6" s="269">
        <f t="shared" si="2"/>
        <v>201.5</v>
      </c>
      <c r="H6" s="285">
        <f t="shared" si="3"/>
        <v>713</v>
      </c>
      <c r="I6" s="286"/>
      <c r="J6" s="287">
        <f t="shared" ref="J6:U6" si="7">J63*$J$54</f>
        <v>195</v>
      </c>
      <c r="K6" s="287">
        <f t="shared" si="7"/>
        <v>180</v>
      </c>
      <c r="L6" s="287">
        <f t="shared" si="7"/>
        <v>165</v>
      </c>
      <c r="M6" s="287">
        <f t="shared" si="7"/>
        <v>120</v>
      </c>
      <c r="N6" s="287">
        <f t="shared" si="7"/>
        <v>75</v>
      </c>
      <c r="O6" s="287">
        <f t="shared" si="7"/>
        <v>0</v>
      </c>
      <c r="P6" s="287">
        <f t="shared" si="7"/>
        <v>0</v>
      </c>
      <c r="Q6" s="287">
        <f t="shared" si="7"/>
        <v>0</v>
      </c>
      <c r="R6" s="287">
        <f t="shared" si="7"/>
        <v>0</v>
      </c>
      <c r="S6" s="287">
        <f t="shared" si="7"/>
        <v>120</v>
      </c>
      <c r="T6" s="287">
        <f t="shared" si="7"/>
        <v>150</v>
      </c>
      <c r="U6" s="287">
        <f t="shared" si="7"/>
        <v>150</v>
      </c>
      <c r="V6" s="288">
        <f t="shared" si="5"/>
        <v>1155</v>
      </c>
    </row>
    <row r="7" spans="1:26" x14ac:dyDescent="0.3">
      <c r="A7" s="52">
        <v>6</v>
      </c>
      <c r="B7" s="18" t="s">
        <v>14</v>
      </c>
      <c r="C7" s="290" t="s">
        <v>13</v>
      </c>
      <c r="D7" s="269">
        <f t="shared" si="2"/>
        <v>155</v>
      </c>
      <c r="E7" s="269">
        <f t="shared" si="2"/>
        <v>170.5</v>
      </c>
      <c r="F7" s="269">
        <f t="shared" si="2"/>
        <v>186</v>
      </c>
      <c r="G7" s="269">
        <f t="shared" si="2"/>
        <v>201.5</v>
      </c>
      <c r="H7" s="285">
        <f t="shared" si="3"/>
        <v>713</v>
      </c>
      <c r="I7" s="286"/>
      <c r="J7" s="287">
        <f t="shared" ref="J7:U7" si="8">J64*$J$54</f>
        <v>210</v>
      </c>
      <c r="K7" s="287">
        <f t="shared" si="8"/>
        <v>180</v>
      </c>
      <c r="L7" s="287">
        <f t="shared" si="8"/>
        <v>165</v>
      </c>
      <c r="M7" s="287">
        <f t="shared" si="8"/>
        <v>105</v>
      </c>
      <c r="N7" s="287">
        <f t="shared" si="8"/>
        <v>75</v>
      </c>
      <c r="O7" s="287">
        <f t="shared" si="8"/>
        <v>0</v>
      </c>
      <c r="P7" s="287">
        <f t="shared" si="8"/>
        <v>0</v>
      </c>
      <c r="Q7" s="287">
        <f t="shared" si="8"/>
        <v>0</v>
      </c>
      <c r="R7" s="287">
        <f t="shared" si="8"/>
        <v>0</v>
      </c>
      <c r="S7" s="287">
        <f t="shared" si="8"/>
        <v>150</v>
      </c>
      <c r="T7" s="287">
        <f t="shared" si="8"/>
        <v>165</v>
      </c>
      <c r="U7" s="287">
        <f t="shared" si="8"/>
        <v>180</v>
      </c>
      <c r="V7" s="288">
        <f t="shared" si="5"/>
        <v>1230</v>
      </c>
    </row>
    <row r="8" spans="1:26" x14ac:dyDescent="0.3">
      <c r="A8" s="52">
        <v>7</v>
      </c>
      <c r="B8" s="18" t="s">
        <v>81</v>
      </c>
      <c r="C8" s="290" t="s">
        <v>82</v>
      </c>
      <c r="D8" s="269">
        <f t="shared" si="2"/>
        <v>186</v>
      </c>
      <c r="E8" s="269">
        <f t="shared" si="2"/>
        <v>201.5</v>
      </c>
      <c r="F8" s="269">
        <f t="shared" si="2"/>
        <v>217</v>
      </c>
      <c r="G8" s="269">
        <f t="shared" si="2"/>
        <v>232.5</v>
      </c>
      <c r="H8" s="285">
        <f t="shared" si="3"/>
        <v>837</v>
      </c>
      <c r="I8" s="286"/>
      <c r="J8" s="287">
        <f t="shared" ref="J8:U8" si="9">J65*$J$54</f>
        <v>240</v>
      </c>
      <c r="K8" s="287">
        <f t="shared" si="9"/>
        <v>210</v>
      </c>
      <c r="L8" s="287">
        <f t="shared" si="9"/>
        <v>180</v>
      </c>
      <c r="M8" s="287">
        <f t="shared" si="9"/>
        <v>150</v>
      </c>
      <c r="N8" s="287">
        <f t="shared" si="9"/>
        <v>90</v>
      </c>
      <c r="O8" s="287">
        <f t="shared" si="9"/>
        <v>0</v>
      </c>
      <c r="P8" s="287">
        <f t="shared" si="9"/>
        <v>0</v>
      </c>
      <c r="Q8" s="287">
        <f t="shared" si="9"/>
        <v>0</v>
      </c>
      <c r="R8" s="287">
        <f t="shared" si="9"/>
        <v>0</v>
      </c>
      <c r="S8" s="287">
        <f t="shared" si="9"/>
        <v>150</v>
      </c>
      <c r="T8" s="287">
        <f t="shared" si="9"/>
        <v>165</v>
      </c>
      <c r="U8" s="287">
        <f t="shared" si="9"/>
        <v>180</v>
      </c>
      <c r="V8" s="288">
        <f t="shared" si="5"/>
        <v>1365</v>
      </c>
    </row>
    <row r="9" spans="1:26" x14ac:dyDescent="0.3">
      <c r="A9" s="52">
        <v>8</v>
      </c>
      <c r="B9" s="18" t="s">
        <v>77</v>
      </c>
      <c r="C9" s="290" t="s">
        <v>78</v>
      </c>
      <c r="D9" s="269">
        <f t="shared" si="2"/>
        <v>108.5</v>
      </c>
      <c r="E9" s="269">
        <f t="shared" si="2"/>
        <v>124</v>
      </c>
      <c r="F9" s="269">
        <f t="shared" si="2"/>
        <v>139.5</v>
      </c>
      <c r="G9" s="269">
        <f t="shared" si="2"/>
        <v>155</v>
      </c>
      <c r="H9" s="285">
        <f t="shared" si="3"/>
        <v>527</v>
      </c>
      <c r="I9" s="286"/>
      <c r="J9" s="287">
        <f t="shared" ref="J9:U9" si="10">J66*$J$54</f>
        <v>90</v>
      </c>
      <c r="K9" s="287">
        <f t="shared" si="10"/>
        <v>75</v>
      </c>
      <c r="L9" s="287">
        <f t="shared" si="10"/>
        <v>60</v>
      </c>
      <c r="M9" s="287">
        <f t="shared" si="10"/>
        <v>60</v>
      </c>
      <c r="N9" s="287">
        <f t="shared" si="10"/>
        <v>45</v>
      </c>
      <c r="O9" s="287">
        <f t="shared" si="10"/>
        <v>0</v>
      </c>
      <c r="P9" s="287">
        <f t="shared" si="10"/>
        <v>0</v>
      </c>
      <c r="Q9" s="287">
        <f t="shared" si="10"/>
        <v>0</v>
      </c>
      <c r="R9" s="287">
        <f t="shared" si="10"/>
        <v>0</v>
      </c>
      <c r="S9" s="287">
        <f t="shared" si="10"/>
        <v>75</v>
      </c>
      <c r="T9" s="287">
        <f t="shared" si="10"/>
        <v>90</v>
      </c>
      <c r="U9" s="287">
        <f t="shared" si="10"/>
        <v>90</v>
      </c>
      <c r="V9" s="288">
        <f t="shared" si="5"/>
        <v>585</v>
      </c>
    </row>
    <row r="10" spans="1:26" x14ac:dyDescent="0.3">
      <c r="A10" s="52">
        <v>9</v>
      </c>
      <c r="B10" s="18" t="s">
        <v>88</v>
      </c>
      <c r="C10" s="290" t="s">
        <v>89</v>
      </c>
      <c r="D10" s="269">
        <f t="shared" si="2"/>
        <v>186</v>
      </c>
      <c r="E10" s="269">
        <f t="shared" si="2"/>
        <v>201.5</v>
      </c>
      <c r="F10" s="269">
        <f t="shared" si="2"/>
        <v>217</v>
      </c>
      <c r="G10" s="269">
        <f t="shared" si="2"/>
        <v>248</v>
      </c>
      <c r="H10" s="285">
        <f t="shared" si="3"/>
        <v>852.5</v>
      </c>
      <c r="I10" s="286"/>
      <c r="J10" s="287">
        <f t="shared" ref="J10:U10" si="11">J67*$J$54</f>
        <v>240</v>
      </c>
      <c r="K10" s="287">
        <f t="shared" si="11"/>
        <v>225</v>
      </c>
      <c r="L10" s="287">
        <f t="shared" si="11"/>
        <v>180</v>
      </c>
      <c r="M10" s="287">
        <f t="shared" si="11"/>
        <v>120</v>
      </c>
      <c r="N10" s="287">
        <f t="shared" si="11"/>
        <v>90</v>
      </c>
      <c r="O10" s="287">
        <f t="shared" si="11"/>
        <v>0</v>
      </c>
      <c r="P10" s="287">
        <f t="shared" si="11"/>
        <v>0</v>
      </c>
      <c r="Q10" s="287">
        <f t="shared" si="11"/>
        <v>0</v>
      </c>
      <c r="R10" s="287">
        <f t="shared" si="11"/>
        <v>0</v>
      </c>
      <c r="S10" s="287">
        <f t="shared" si="11"/>
        <v>150</v>
      </c>
      <c r="T10" s="287">
        <f t="shared" si="11"/>
        <v>150</v>
      </c>
      <c r="U10" s="287">
        <f t="shared" si="11"/>
        <v>180</v>
      </c>
      <c r="V10" s="288">
        <f t="shared" si="5"/>
        <v>1335</v>
      </c>
    </row>
    <row r="11" spans="1:26" x14ac:dyDescent="0.3">
      <c r="A11" s="52">
        <v>10</v>
      </c>
      <c r="B11" s="18" t="s">
        <v>79</v>
      </c>
      <c r="C11" s="290" t="s">
        <v>80</v>
      </c>
      <c r="D11" s="269">
        <f t="shared" si="2"/>
        <v>124</v>
      </c>
      <c r="E11" s="269">
        <f t="shared" si="2"/>
        <v>139.5</v>
      </c>
      <c r="F11" s="269">
        <f t="shared" si="2"/>
        <v>155</v>
      </c>
      <c r="G11" s="269">
        <f t="shared" si="2"/>
        <v>139.5</v>
      </c>
      <c r="H11" s="285">
        <f t="shared" si="3"/>
        <v>558</v>
      </c>
      <c r="I11" s="286"/>
      <c r="J11" s="287">
        <f t="shared" ref="J11:U11" si="12">J68*$J$54</f>
        <v>135</v>
      </c>
      <c r="K11" s="287">
        <f t="shared" si="12"/>
        <v>120</v>
      </c>
      <c r="L11" s="287">
        <f t="shared" si="12"/>
        <v>105</v>
      </c>
      <c r="M11" s="287">
        <f t="shared" si="12"/>
        <v>75</v>
      </c>
      <c r="N11" s="287">
        <f t="shared" si="12"/>
        <v>60</v>
      </c>
      <c r="O11" s="287">
        <f t="shared" si="12"/>
        <v>0</v>
      </c>
      <c r="P11" s="287">
        <f t="shared" si="12"/>
        <v>0</v>
      </c>
      <c r="Q11" s="287">
        <f t="shared" si="12"/>
        <v>0</v>
      </c>
      <c r="R11" s="287">
        <f t="shared" si="12"/>
        <v>0</v>
      </c>
      <c r="S11" s="287">
        <f t="shared" si="12"/>
        <v>60</v>
      </c>
      <c r="T11" s="287">
        <f t="shared" si="12"/>
        <v>90</v>
      </c>
      <c r="U11" s="287">
        <f t="shared" si="12"/>
        <v>105</v>
      </c>
      <c r="V11" s="288">
        <f t="shared" si="5"/>
        <v>750</v>
      </c>
    </row>
    <row r="12" spans="1:26" x14ac:dyDescent="0.3">
      <c r="A12" s="52">
        <v>11</v>
      </c>
      <c r="B12" s="18" t="s">
        <v>9</v>
      </c>
      <c r="C12" s="290" t="s">
        <v>10</v>
      </c>
      <c r="D12" s="269">
        <f t="shared" si="2"/>
        <v>186</v>
      </c>
      <c r="E12" s="269">
        <f t="shared" si="2"/>
        <v>201.5</v>
      </c>
      <c r="F12" s="269">
        <f t="shared" si="2"/>
        <v>217</v>
      </c>
      <c r="G12" s="269">
        <f t="shared" si="2"/>
        <v>232.5</v>
      </c>
      <c r="H12" s="285">
        <f t="shared" si="3"/>
        <v>837</v>
      </c>
      <c r="I12" s="286"/>
      <c r="J12" s="287">
        <f t="shared" ref="J12:U12" si="13">J69*$J$54</f>
        <v>240</v>
      </c>
      <c r="K12" s="287">
        <f t="shared" si="13"/>
        <v>240</v>
      </c>
      <c r="L12" s="287">
        <f t="shared" si="13"/>
        <v>225</v>
      </c>
      <c r="M12" s="287">
        <f t="shared" si="13"/>
        <v>210</v>
      </c>
      <c r="N12" s="287">
        <f t="shared" si="13"/>
        <v>195</v>
      </c>
      <c r="O12" s="287">
        <f t="shared" si="13"/>
        <v>180</v>
      </c>
      <c r="P12" s="287">
        <f t="shared" si="13"/>
        <v>105</v>
      </c>
      <c r="Q12" s="287">
        <f t="shared" si="13"/>
        <v>0</v>
      </c>
      <c r="R12" s="287">
        <f t="shared" si="13"/>
        <v>0</v>
      </c>
      <c r="S12" s="287">
        <f t="shared" si="13"/>
        <v>0</v>
      </c>
      <c r="T12" s="287">
        <f t="shared" si="13"/>
        <v>120</v>
      </c>
      <c r="U12" s="287">
        <f t="shared" si="13"/>
        <v>150</v>
      </c>
      <c r="V12" s="288">
        <f t="shared" si="5"/>
        <v>1665</v>
      </c>
    </row>
    <row r="13" spans="1:26" x14ac:dyDescent="0.3">
      <c r="A13" s="52">
        <v>12</v>
      </c>
      <c r="B13" s="18" t="s">
        <v>33</v>
      </c>
      <c r="C13" s="290" t="s">
        <v>34</v>
      </c>
      <c r="D13" s="269">
        <f t="shared" si="2"/>
        <v>201.5</v>
      </c>
      <c r="E13" s="269">
        <f t="shared" si="2"/>
        <v>217</v>
      </c>
      <c r="F13" s="269">
        <f t="shared" si="2"/>
        <v>232.5</v>
      </c>
      <c r="G13" s="269">
        <f t="shared" si="2"/>
        <v>248</v>
      </c>
      <c r="H13" s="285">
        <f t="shared" si="3"/>
        <v>899</v>
      </c>
      <c r="I13" s="286"/>
      <c r="J13" s="287">
        <f t="shared" ref="J13:U13" si="14">J70*$J$54</f>
        <v>225</v>
      </c>
      <c r="K13" s="287">
        <f t="shared" si="14"/>
        <v>225</v>
      </c>
      <c r="L13" s="287">
        <f t="shared" si="14"/>
        <v>210</v>
      </c>
      <c r="M13" s="287">
        <f t="shared" si="14"/>
        <v>180</v>
      </c>
      <c r="N13" s="287">
        <f t="shared" si="14"/>
        <v>150</v>
      </c>
      <c r="O13" s="287">
        <f t="shared" si="14"/>
        <v>135</v>
      </c>
      <c r="P13" s="287">
        <f t="shared" si="14"/>
        <v>75</v>
      </c>
      <c r="Q13" s="287">
        <f t="shared" si="14"/>
        <v>0</v>
      </c>
      <c r="R13" s="287">
        <f t="shared" si="14"/>
        <v>0</v>
      </c>
      <c r="S13" s="287">
        <f t="shared" si="14"/>
        <v>0</v>
      </c>
      <c r="T13" s="287">
        <f t="shared" si="14"/>
        <v>120</v>
      </c>
      <c r="U13" s="287">
        <f t="shared" si="14"/>
        <v>150</v>
      </c>
      <c r="V13" s="288">
        <f t="shared" si="5"/>
        <v>1470</v>
      </c>
    </row>
    <row r="14" spans="1:26" x14ac:dyDescent="0.3">
      <c r="A14" s="52">
        <v>13</v>
      </c>
      <c r="B14" s="18" t="s">
        <v>83</v>
      </c>
      <c r="C14" s="290" t="s">
        <v>84</v>
      </c>
      <c r="D14" s="269">
        <f t="shared" si="2"/>
        <v>186</v>
      </c>
      <c r="E14" s="269">
        <f t="shared" si="2"/>
        <v>170.5</v>
      </c>
      <c r="F14" s="269">
        <f t="shared" si="2"/>
        <v>155</v>
      </c>
      <c r="G14" s="269">
        <f t="shared" si="2"/>
        <v>170.5</v>
      </c>
      <c r="H14" s="285">
        <f t="shared" si="3"/>
        <v>682</v>
      </c>
      <c r="I14" s="286"/>
      <c r="J14" s="287">
        <f t="shared" ref="J14:U14" si="15">J71*$J$54</f>
        <v>195</v>
      </c>
      <c r="K14" s="287">
        <f t="shared" si="15"/>
        <v>195</v>
      </c>
      <c r="L14" s="287">
        <f t="shared" si="15"/>
        <v>180</v>
      </c>
      <c r="M14" s="287">
        <f t="shared" si="15"/>
        <v>165</v>
      </c>
      <c r="N14" s="287">
        <f t="shared" si="15"/>
        <v>150</v>
      </c>
      <c r="O14" s="287">
        <f t="shared" si="15"/>
        <v>135</v>
      </c>
      <c r="P14" s="287">
        <f t="shared" si="15"/>
        <v>75</v>
      </c>
      <c r="Q14" s="287">
        <f t="shared" si="15"/>
        <v>0</v>
      </c>
      <c r="R14" s="287">
        <f t="shared" si="15"/>
        <v>0</v>
      </c>
      <c r="S14" s="287">
        <f t="shared" si="15"/>
        <v>0</v>
      </c>
      <c r="T14" s="287">
        <f t="shared" si="15"/>
        <v>0</v>
      </c>
      <c r="U14" s="287">
        <f t="shared" si="15"/>
        <v>120</v>
      </c>
      <c r="V14" s="288">
        <f t="shared" si="5"/>
        <v>1215</v>
      </c>
    </row>
    <row r="15" spans="1:26" x14ac:dyDescent="0.3">
      <c r="A15" s="52">
        <v>14</v>
      </c>
      <c r="B15" s="18" t="s">
        <v>15</v>
      </c>
      <c r="C15" s="290" t="s">
        <v>16</v>
      </c>
      <c r="D15" s="269">
        <f t="shared" si="2"/>
        <v>155</v>
      </c>
      <c r="E15" s="269">
        <f t="shared" si="2"/>
        <v>170.5</v>
      </c>
      <c r="F15" s="269">
        <f t="shared" si="2"/>
        <v>201.5</v>
      </c>
      <c r="G15" s="269">
        <f t="shared" si="2"/>
        <v>186</v>
      </c>
      <c r="H15" s="285">
        <f t="shared" si="3"/>
        <v>713</v>
      </c>
      <c r="I15" s="286"/>
      <c r="J15" s="287">
        <f t="shared" ref="J15:U15" si="16">J72*$J$54</f>
        <v>180</v>
      </c>
      <c r="K15" s="287">
        <f t="shared" si="16"/>
        <v>150</v>
      </c>
      <c r="L15" s="287">
        <f t="shared" si="16"/>
        <v>150</v>
      </c>
      <c r="M15" s="287">
        <f t="shared" si="16"/>
        <v>135</v>
      </c>
      <c r="N15" s="287">
        <f t="shared" si="16"/>
        <v>90</v>
      </c>
      <c r="O15" s="287">
        <f t="shared" si="16"/>
        <v>75</v>
      </c>
      <c r="P15" s="287">
        <f t="shared" si="16"/>
        <v>0</v>
      </c>
      <c r="Q15" s="287">
        <f t="shared" si="16"/>
        <v>0</v>
      </c>
      <c r="R15" s="287">
        <f t="shared" si="16"/>
        <v>0</v>
      </c>
      <c r="S15" s="287">
        <f t="shared" si="16"/>
        <v>0</v>
      </c>
      <c r="T15" s="287">
        <f t="shared" si="16"/>
        <v>90</v>
      </c>
      <c r="U15" s="287">
        <f t="shared" si="16"/>
        <v>105</v>
      </c>
      <c r="V15" s="288">
        <f t="shared" si="5"/>
        <v>975</v>
      </c>
    </row>
    <row r="16" spans="1:26" x14ac:dyDescent="0.3">
      <c r="A16" s="52">
        <v>15</v>
      </c>
      <c r="B16" s="18" t="s">
        <v>24</v>
      </c>
      <c r="C16" s="290" t="s">
        <v>25</v>
      </c>
      <c r="D16" s="269">
        <f t="shared" si="2"/>
        <v>186</v>
      </c>
      <c r="E16" s="269">
        <f t="shared" si="2"/>
        <v>201.5</v>
      </c>
      <c r="F16" s="269">
        <f t="shared" si="2"/>
        <v>217</v>
      </c>
      <c r="G16" s="269">
        <f t="shared" si="2"/>
        <v>232.5</v>
      </c>
      <c r="H16" s="285">
        <f t="shared" si="3"/>
        <v>837</v>
      </c>
      <c r="I16" s="286"/>
      <c r="J16" s="287">
        <f t="shared" ref="J16:U16" si="17">J73*$J$54</f>
        <v>210</v>
      </c>
      <c r="K16" s="287">
        <f t="shared" si="17"/>
        <v>195</v>
      </c>
      <c r="L16" s="287">
        <f t="shared" si="17"/>
        <v>180</v>
      </c>
      <c r="M16" s="287">
        <f t="shared" si="17"/>
        <v>165</v>
      </c>
      <c r="N16" s="287">
        <f t="shared" si="17"/>
        <v>150</v>
      </c>
      <c r="O16" s="287">
        <f t="shared" si="17"/>
        <v>135</v>
      </c>
      <c r="P16" s="287">
        <f t="shared" si="17"/>
        <v>90</v>
      </c>
      <c r="Q16" s="287">
        <f t="shared" si="17"/>
        <v>0</v>
      </c>
      <c r="R16" s="287">
        <f t="shared" si="17"/>
        <v>0</v>
      </c>
      <c r="S16" s="287">
        <f t="shared" si="17"/>
        <v>0</v>
      </c>
      <c r="T16" s="287">
        <f t="shared" si="17"/>
        <v>0</v>
      </c>
      <c r="U16" s="287">
        <f t="shared" si="17"/>
        <v>120</v>
      </c>
      <c r="V16" s="288">
        <f t="shared" si="5"/>
        <v>1245</v>
      </c>
    </row>
    <row r="17" spans="1:22" x14ac:dyDescent="0.3">
      <c r="A17" s="52">
        <v>16</v>
      </c>
      <c r="B17" s="18" t="s">
        <v>3</v>
      </c>
      <c r="C17" s="290" t="s">
        <v>4</v>
      </c>
      <c r="D17" s="269">
        <f t="shared" si="2"/>
        <v>155</v>
      </c>
      <c r="E17" s="269">
        <f t="shared" si="2"/>
        <v>170.5</v>
      </c>
      <c r="F17" s="269">
        <f t="shared" si="2"/>
        <v>217</v>
      </c>
      <c r="G17" s="269">
        <f t="shared" si="2"/>
        <v>232.5</v>
      </c>
      <c r="H17" s="285">
        <f t="shared" si="3"/>
        <v>775</v>
      </c>
      <c r="I17" s="286"/>
      <c r="J17" s="287">
        <f t="shared" ref="J17:U17" si="18">J74*$J$54</f>
        <v>195</v>
      </c>
      <c r="K17" s="287">
        <f t="shared" si="18"/>
        <v>195</v>
      </c>
      <c r="L17" s="287">
        <f t="shared" si="18"/>
        <v>180</v>
      </c>
      <c r="M17" s="287">
        <f t="shared" si="18"/>
        <v>165</v>
      </c>
      <c r="N17" s="287">
        <f t="shared" si="18"/>
        <v>150</v>
      </c>
      <c r="O17" s="287">
        <f t="shared" si="18"/>
        <v>135</v>
      </c>
      <c r="P17" s="287">
        <f t="shared" si="18"/>
        <v>75</v>
      </c>
      <c r="Q17" s="287">
        <f t="shared" si="18"/>
        <v>0</v>
      </c>
      <c r="R17" s="287">
        <f t="shared" si="18"/>
        <v>0</v>
      </c>
      <c r="S17" s="287">
        <f t="shared" si="18"/>
        <v>0</v>
      </c>
      <c r="T17" s="287">
        <f t="shared" si="18"/>
        <v>0</v>
      </c>
      <c r="U17" s="287">
        <f t="shared" si="18"/>
        <v>120</v>
      </c>
      <c r="V17" s="288">
        <f t="shared" si="5"/>
        <v>1215</v>
      </c>
    </row>
    <row r="18" spans="1:22" ht="15" thickBot="1" x14ac:dyDescent="0.35">
      <c r="A18" s="52">
        <v>17</v>
      </c>
      <c r="B18" s="110" t="s">
        <v>176</v>
      </c>
      <c r="C18" s="291"/>
      <c r="D18" s="269">
        <f t="shared" si="2"/>
        <v>217</v>
      </c>
      <c r="E18" s="269">
        <f t="shared" si="2"/>
        <v>217</v>
      </c>
      <c r="F18" s="269">
        <f t="shared" si="2"/>
        <v>232.5</v>
      </c>
      <c r="G18" s="269">
        <f t="shared" si="2"/>
        <v>232.5</v>
      </c>
      <c r="H18" s="285">
        <f t="shared" si="3"/>
        <v>899</v>
      </c>
      <c r="I18" s="286"/>
      <c r="J18" s="287">
        <f t="shared" ref="J18:U18" si="19">J75*$J$54</f>
        <v>225</v>
      </c>
      <c r="K18" s="287">
        <f t="shared" si="19"/>
        <v>210</v>
      </c>
      <c r="L18" s="287">
        <f t="shared" si="19"/>
        <v>195</v>
      </c>
      <c r="M18" s="287">
        <f t="shared" si="19"/>
        <v>180</v>
      </c>
      <c r="N18" s="287">
        <f t="shared" si="19"/>
        <v>165</v>
      </c>
      <c r="O18" s="287">
        <f t="shared" si="19"/>
        <v>150</v>
      </c>
      <c r="P18" s="287">
        <f t="shared" si="19"/>
        <v>105</v>
      </c>
      <c r="Q18" s="287">
        <f t="shared" si="19"/>
        <v>0</v>
      </c>
      <c r="R18" s="287">
        <f t="shared" si="19"/>
        <v>0</v>
      </c>
      <c r="S18" s="287">
        <f t="shared" si="19"/>
        <v>0</v>
      </c>
      <c r="T18" s="287">
        <f t="shared" si="19"/>
        <v>0</v>
      </c>
      <c r="U18" s="287">
        <f t="shared" si="19"/>
        <v>120</v>
      </c>
      <c r="V18" s="292">
        <f t="shared" si="5"/>
        <v>1350</v>
      </c>
    </row>
    <row r="19" spans="1:22" x14ac:dyDescent="0.3">
      <c r="A19" s="52">
        <v>18</v>
      </c>
      <c r="B19" s="52" t="s">
        <v>71</v>
      </c>
      <c r="C19" s="156" t="s">
        <v>72</v>
      </c>
      <c r="D19" s="269">
        <f t="shared" si="2"/>
        <v>170.5</v>
      </c>
      <c r="E19" s="269">
        <f t="shared" ref="E19:G19" si="20">E76*$D$54</f>
        <v>217</v>
      </c>
      <c r="F19" s="269">
        <f t="shared" si="20"/>
        <v>248</v>
      </c>
      <c r="G19" s="269">
        <f t="shared" si="20"/>
        <v>248</v>
      </c>
      <c r="H19" s="285">
        <f t="shared" si="3"/>
        <v>883.5</v>
      </c>
      <c r="I19" s="286"/>
      <c r="J19" s="287">
        <f t="shared" ref="J19:U19" si="21">J76*$J$54</f>
        <v>270</v>
      </c>
      <c r="K19" s="287">
        <f t="shared" si="21"/>
        <v>225</v>
      </c>
      <c r="L19" s="287">
        <f t="shared" si="21"/>
        <v>225</v>
      </c>
      <c r="M19" s="287">
        <f t="shared" si="21"/>
        <v>210</v>
      </c>
      <c r="N19" s="287">
        <f t="shared" si="21"/>
        <v>165</v>
      </c>
      <c r="O19" s="287">
        <f t="shared" si="21"/>
        <v>150</v>
      </c>
      <c r="P19" s="287">
        <f t="shared" si="21"/>
        <v>105</v>
      </c>
      <c r="Q19" s="287">
        <f t="shared" si="21"/>
        <v>0</v>
      </c>
      <c r="R19" s="287">
        <f t="shared" si="21"/>
        <v>0</v>
      </c>
      <c r="S19" s="287">
        <f t="shared" si="21"/>
        <v>0</v>
      </c>
      <c r="T19" s="287">
        <f t="shared" si="21"/>
        <v>0</v>
      </c>
      <c r="U19" s="287">
        <f t="shared" si="21"/>
        <v>150</v>
      </c>
      <c r="V19" s="288">
        <f t="shared" si="5"/>
        <v>1500</v>
      </c>
    </row>
    <row r="20" spans="1:22" x14ac:dyDescent="0.3">
      <c r="A20" s="52">
        <v>19</v>
      </c>
      <c r="B20" s="114" t="s">
        <v>162</v>
      </c>
      <c r="C20" s="293"/>
      <c r="D20" s="269">
        <f t="shared" ref="D20:G20" si="22">D77*$D$54</f>
        <v>93</v>
      </c>
      <c r="E20" s="269">
        <f t="shared" si="22"/>
        <v>124</v>
      </c>
      <c r="F20" s="269">
        <f t="shared" si="22"/>
        <v>170.5</v>
      </c>
      <c r="G20" s="269">
        <f t="shared" si="22"/>
        <v>186</v>
      </c>
      <c r="H20" s="285">
        <f t="shared" si="3"/>
        <v>573.5</v>
      </c>
      <c r="I20" s="286"/>
      <c r="J20" s="287">
        <f t="shared" ref="J20:U20" si="23">J77*$J$54</f>
        <v>180</v>
      </c>
      <c r="K20" s="287">
        <f t="shared" si="23"/>
        <v>195</v>
      </c>
      <c r="L20" s="287">
        <f t="shared" si="23"/>
        <v>180</v>
      </c>
      <c r="M20" s="287">
        <f t="shared" si="23"/>
        <v>165</v>
      </c>
      <c r="N20" s="287">
        <f t="shared" si="23"/>
        <v>135</v>
      </c>
      <c r="O20" s="287">
        <f t="shared" si="23"/>
        <v>120</v>
      </c>
      <c r="P20" s="287">
        <f t="shared" si="23"/>
        <v>75</v>
      </c>
      <c r="Q20" s="287">
        <f t="shared" si="23"/>
        <v>0</v>
      </c>
      <c r="R20" s="287">
        <f t="shared" si="23"/>
        <v>0</v>
      </c>
      <c r="S20" s="287">
        <f t="shared" si="23"/>
        <v>0</v>
      </c>
      <c r="T20" s="287">
        <f t="shared" si="23"/>
        <v>0</v>
      </c>
      <c r="U20" s="287">
        <f t="shared" si="23"/>
        <v>150</v>
      </c>
      <c r="V20" s="288">
        <f t="shared" si="5"/>
        <v>1200</v>
      </c>
    </row>
    <row r="21" spans="1:22" ht="15" thickBot="1" x14ac:dyDescent="0.35">
      <c r="A21" s="52">
        <v>20</v>
      </c>
      <c r="B21" s="109" t="s">
        <v>35</v>
      </c>
      <c r="C21" s="294" t="s">
        <v>178</v>
      </c>
      <c r="D21" s="269">
        <f t="shared" ref="D21:G21" si="24">D78*$D$54</f>
        <v>124</v>
      </c>
      <c r="E21" s="269">
        <f t="shared" si="24"/>
        <v>155</v>
      </c>
      <c r="F21" s="269">
        <f t="shared" si="24"/>
        <v>186</v>
      </c>
      <c r="G21" s="269">
        <f t="shared" si="24"/>
        <v>217</v>
      </c>
      <c r="H21" s="285">
        <f t="shared" si="3"/>
        <v>682</v>
      </c>
      <c r="I21" s="286"/>
      <c r="J21" s="287">
        <f t="shared" ref="J21:U21" si="25">J78*$J$54</f>
        <v>210</v>
      </c>
      <c r="K21" s="287">
        <f t="shared" si="25"/>
        <v>180</v>
      </c>
      <c r="L21" s="287">
        <f t="shared" si="25"/>
        <v>180</v>
      </c>
      <c r="M21" s="287">
        <f t="shared" si="25"/>
        <v>150</v>
      </c>
      <c r="N21" s="287">
        <f t="shared" si="25"/>
        <v>90</v>
      </c>
      <c r="O21" s="287">
        <f t="shared" si="25"/>
        <v>60</v>
      </c>
      <c r="P21" s="287">
        <f t="shared" si="25"/>
        <v>0</v>
      </c>
      <c r="Q21" s="287">
        <f t="shared" si="25"/>
        <v>0</v>
      </c>
      <c r="R21" s="287">
        <f t="shared" si="25"/>
        <v>0</v>
      </c>
      <c r="S21" s="287">
        <f t="shared" si="25"/>
        <v>0</v>
      </c>
      <c r="T21" s="287">
        <f t="shared" si="25"/>
        <v>105</v>
      </c>
      <c r="U21" s="287">
        <f t="shared" si="25"/>
        <v>120</v>
      </c>
      <c r="V21" s="288">
        <f t="shared" si="5"/>
        <v>1095</v>
      </c>
    </row>
    <row r="22" spans="1:22" x14ac:dyDescent="0.3">
      <c r="A22" s="52">
        <v>21</v>
      </c>
      <c r="B22" s="18" t="s">
        <v>11</v>
      </c>
      <c r="C22" s="290" t="s">
        <v>12</v>
      </c>
      <c r="D22" s="269">
        <f t="shared" ref="D22:G22" si="26">D79*$D$54</f>
        <v>0</v>
      </c>
      <c r="E22" s="269">
        <f t="shared" si="26"/>
        <v>0</v>
      </c>
      <c r="F22" s="269">
        <f t="shared" si="26"/>
        <v>139.5</v>
      </c>
      <c r="G22" s="269">
        <f t="shared" si="26"/>
        <v>170.5</v>
      </c>
      <c r="H22" s="285">
        <f t="shared" si="3"/>
        <v>310</v>
      </c>
      <c r="I22" s="286"/>
      <c r="J22" s="287">
        <f t="shared" ref="J22:U22" si="27">J79*$J$54</f>
        <v>195</v>
      </c>
      <c r="K22" s="287">
        <f t="shared" si="27"/>
        <v>195</v>
      </c>
      <c r="L22" s="287">
        <f t="shared" si="27"/>
        <v>180</v>
      </c>
      <c r="M22" s="287">
        <f t="shared" si="27"/>
        <v>180</v>
      </c>
      <c r="N22" s="287">
        <f t="shared" si="27"/>
        <v>165</v>
      </c>
      <c r="O22" s="287">
        <f t="shared" si="27"/>
        <v>135</v>
      </c>
      <c r="P22" s="287">
        <f t="shared" si="27"/>
        <v>105</v>
      </c>
      <c r="Q22" s="287">
        <f t="shared" si="27"/>
        <v>0</v>
      </c>
      <c r="R22" s="287">
        <f t="shared" si="27"/>
        <v>0</v>
      </c>
      <c r="S22" s="287">
        <f t="shared" si="27"/>
        <v>0</v>
      </c>
      <c r="T22" s="287">
        <f t="shared" si="27"/>
        <v>0</v>
      </c>
      <c r="U22" s="287">
        <f t="shared" si="27"/>
        <v>0</v>
      </c>
      <c r="V22" s="288">
        <f t="shared" si="5"/>
        <v>1155</v>
      </c>
    </row>
    <row r="23" spans="1:22" x14ac:dyDescent="0.3">
      <c r="A23" s="52">
        <v>22</v>
      </c>
      <c r="B23" s="21" t="s">
        <v>31</v>
      </c>
      <c r="C23" s="289" t="s">
        <v>32</v>
      </c>
      <c r="D23" s="269">
        <f t="shared" ref="D23:G23" si="28">D80*$D$54</f>
        <v>0</v>
      </c>
      <c r="E23" s="269">
        <f t="shared" si="28"/>
        <v>0</v>
      </c>
      <c r="F23" s="269">
        <f t="shared" si="28"/>
        <v>124</v>
      </c>
      <c r="G23" s="269">
        <f t="shared" si="28"/>
        <v>155</v>
      </c>
      <c r="H23" s="285">
        <f t="shared" si="3"/>
        <v>279</v>
      </c>
      <c r="I23" s="286"/>
      <c r="J23" s="287">
        <f t="shared" ref="J23:U23" si="29">J80*$J$54</f>
        <v>165</v>
      </c>
      <c r="K23" s="287">
        <f t="shared" si="29"/>
        <v>180</v>
      </c>
      <c r="L23" s="287">
        <f t="shared" si="29"/>
        <v>195</v>
      </c>
      <c r="M23" s="287">
        <f t="shared" si="29"/>
        <v>180</v>
      </c>
      <c r="N23" s="287">
        <f t="shared" si="29"/>
        <v>165</v>
      </c>
      <c r="O23" s="287">
        <f t="shared" si="29"/>
        <v>135</v>
      </c>
      <c r="P23" s="287">
        <f t="shared" si="29"/>
        <v>90</v>
      </c>
      <c r="Q23" s="287">
        <f t="shared" si="29"/>
        <v>75</v>
      </c>
      <c r="R23" s="287">
        <f t="shared" si="29"/>
        <v>0</v>
      </c>
      <c r="S23" s="287">
        <f t="shared" si="29"/>
        <v>0</v>
      </c>
      <c r="T23" s="287">
        <f t="shared" si="29"/>
        <v>0</v>
      </c>
      <c r="U23" s="287">
        <f t="shared" si="29"/>
        <v>0</v>
      </c>
      <c r="V23" s="288">
        <f t="shared" si="5"/>
        <v>1185</v>
      </c>
    </row>
    <row r="24" spans="1:22" x14ac:dyDescent="0.3">
      <c r="A24" s="52">
        <v>23</v>
      </c>
      <c r="B24" s="21" t="s">
        <v>43</v>
      </c>
      <c r="C24" s="289" t="s">
        <v>44</v>
      </c>
      <c r="D24" s="269">
        <f t="shared" ref="D24:G24" si="30">D81*$D$54</f>
        <v>0</v>
      </c>
      <c r="E24" s="269">
        <f t="shared" si="30"/>
        <v>0</v>
      </c>
      <c r="F24" s="269">
        <f t="shared" si="30"/>
        <v>124</v>
      </c>
      <c r="G24" s="269">
        <f t="shared" si="30"/>
        <v>155</v>
      </c>
      <c r="H24" s="285">
        <f t="shared" si="3"/>
        <v>279</v>
      </c>
      <c r="I24" s="286"/>
      <c r="J24" s="287">
        <f t="shared" ref="J24:U24" si="31">J81*$J$54</f>
        <v>165</v>
      </c>
      <c r="K24" s="287">
        <f t="shared" si="31"/>
        <v>180</v>
      </c>
      <c r="L24" s="287">
        <f t="shared" si="31"/>
        <v>195</v>
      </c>
      <c r="M24" s="287">
        <f t="shared" si="31"/>
        <v>180</v>
      </c>
      <c r="N24" s="287">
        <f t="shared" si="31"/>
        <v>165</v>
      </c>
      <c r="O24" s="287">
        <f t="shared" si="31"/>
        <v>150</v>
      </c>
      <c r="P24" s="287">
        <f t="shared" si="31"/>
        <v>135</v>
      </c>
      <c r="Q24" s="287">
        <f t="shared" si="31"/>
        <v>90</v>
      </c>
      <c r="R24" s="287">
        <f t="shared" si="31"/>
        <v>0</v>
      </c>
      <c r="S24" s="287">
        <f t="shared" si="31"/>
        <v>0</v>
      </c>
      <c r="T24" s="287">
        <f t="shared" si="31"/>
        <v>0</v>
      </c>
      <c r="U24" s="287">
        <f t="shared" si="31"/>
        <v>0</v>
      </c>
      <c r="V24" s="288">
        <f t="shared" si="5"/>
        <v>1260</v>
      </c>
    </row>
    <row r="25" spans="1:22" x14ac:dyDescent="0.3">
      <c r="A25" s="52">
        <v>24</v>
      </c>
      <c r="B25" s="18" t="s">
        <v>67</v>
      </c>
      <c r="C25" s="290" t="s">
        <v>68</v>
      </c>
      <c r="D25" s="269">
        <f t="shared" ref="D25:G25" si="32">D82*$D$54</f>
        <v>0</v>
      </c>
      <c r="E25" s="269">
        <f t="shared" si="32"/>
        <v>0</v>
      </c>
      <c r="F25" s="269">
        <f t="shared" si="32"/>
        <v>124</v>
      </c>
      <c r="G25" s="269">
        <f t="shared" si="32"/>
        <v>139.5</v>
      </c>
      <c r="H25" s="285">
        <f t="shared" si="3"/>
        <v>263.5</v>
      </c>
      <c r="I25" s="286"/>
      <c r="J25" s="287">
        <f t="shared" ref="J25:U25" si="33">J82*$J$54</f>
        <v>150</v>
      </c>
      <c r="K25" s="287">
        <f t="shared" si="33"/>
        <v>180</v>
      </c>
      <c r="L25" s="287">
        <f t="shared" si="33"/>
        <v>195</v>
      </c>
      <c r="M25" s="287">
        <f t="shared" si="33"/>
        <v>180</v>
      </c>
      <c r="N25" s="287">
        <f t="shared" si="33"/>
        <v>150</v>
      </c>
      <c r="O25" s="287">
        <f t="shared" si="33"/>
        <v>135</v>
      </c>
      <c r="P25" s="287">
        <f t="shared" si="33"/>
        <v>90</v>
      </c>
      <c r="Q25" s="287">
        <f t="shared" si="33"/>
        <v>60</v>
      </c>
      <c r="R25" s="287">
        <f t="shared" si="33"/>
        <v>0</v>
      </c>
      <c r="S25" s="287">
        <f t="shared" si="33"/>
        <v>0</v>
      </c>
      <c r="T25" s="287">
        <f t="shared" si="33"/>
        <v>0</v>
      </c>
      <c r="U25" s="287">
        <f t="shared" si="33"/>
        <v>0</v>
      </c>
      <c r="V25" s="288">
        <f t="shared" si="5"/>
        <v>1140</v>
      </c>
    </row>
    <row r="26" spans="1:22" x14ac:dyDescent="0.3">
      <c r="A26" s="52">
        <v>25</v>
      </c>
      <c r="B26" s="18" t="s">
        <v>49</v>
      </c>
      <c r="C26" s="289" t="s">
        <v>50</v>
      </c>
      <c r="D26" s="269">
        <f t="shared" ref="D26:G26" si="34">D83*$D$54</f>
        <v>0</v>
      </c>
      <c r="E26" s="269">
        <f t="shared" si="34"/>
        <v>0</v>
      </c>
      <c r="F26" s="269">
        <f t="shared" si="34"/>
        <v>124</v>
      </c>
      <c r="G26" s="269">
        <f t="shared" si="34"/>
        <v>155</v>
      </c>
      <c r="H26" s="285">
        <f t="shared" si="3"/>
        <v>279</v>
      </c>
      <c r="I26" s="286"/>
      <c r="J26" s="287">
        <f t="shared" ref="J26:U26" si="35">J83*$J$54</f>
        <v>165</v>
      </c>
      <c r="K26" s="287">
        <f t="shared" si="35"/>
        <v>180</v>
      </c>
      <c r="L26" s="287">
        <f t="shared" si="35"/>
        <v>180</v>
      </c>
      <c r="M26" s="287">
        <f t="shared" si="35"/>
        <v>150</v>
      </c>
      <c r="N26" s="287">
        <f t="shared" si="35"/>
        <v>120</v>
      </c>
      <c r="O26" s="287">
        <f t="shared" si="35"/>
        <v>90</v>
      </c>
      <c r="P26" s="287">
        <f t="shared" si="35"/>
        <v>75</v>
      </c>
      <c r="Q26" s="287">
        <f t="shared" si="35"/>
        <v>45</v>
      </c>
      <c r="R26" s="287">
        <f t="shared" si="35"/>
        <v>0</v>
      </c>
      <c r="S26" s="287">
        <f t="shared" si="35"/>
        <v>0</v>
      </c>
      <c r="T26" s="287">
        <f t="shared" si="35"/>
        <v>0</v>
      </c>
      <c r="U26" s="287">
        <f t="shared" si="35"/>
        <v>0</v>
      </c>
      <c r="V26" s="288">
        <f t="shared" si="5"/>
        <v>1005</v>
      </c>
    </row>
    <row r="27" spans="1:22" x14ac:dyDescent="0.3">
      <c r="A27" s="52">
        <v>26</v>
      </c>
      <c r="B27" s="18" t="s">
        <v>45</v>
      </c>
      <c r="C27" s="290" t="s">
        <v>46</v>
      </c>
      <c r="D27" s="269">
        <f t="shared" ref="D27:G27" si="36">D84*$D$54</f>
        <v>0</v>
      </c>
      <c r="E27" s="269">
        <f t="shared" si="36"/>
        <v>0</v>
      </c>
      <c r="F27" s="269">
        <f t="shared" si="36"/>
        <v>155</v>
      </c>
      <c r="G27" s="269">
        <f t="shared" si="36"/>
        <v>186</v>
      </c>
      <c r="H27" s="285">
        <f t="shared" si="3"/>
        <v>341</v>
      </c>
      <c r="I27" s="286"/>
      <c r="J27" s="287">
        <f t="shared" ref="J27:U27" si="37">J84*$J$54</f>
        <v>210</v>
      </c>
      <c r="K27" s="287">
        <f t="shared" si="37"/>
        <v>225</v>
      </c>
      <c r="L27" s="287">
        <f t="shared" si="37"/>
        <v>240</v>
      </c>
      <c r="M27" s="287">
        <f t="shared" si="37"/>
        <v>195</v>
      </c>
      <c r="N27" s="287">
        <f t="shared" si="37"/>
        <v>180</v>
      </c>
      <c r="O27" s="287">
        <f t="shared" si="37"/>
        <v>165</v>
      </c>
      <c r="P27" s="287">
        <f t="shared" si="37"/>
        <v>150</v>
      </c>
      <c r="Q27" s="287">
        <f t="shared" si="37"/>
        <v>90</v>
      </c>
      <c r="R27" s="287">
        <f t="shared" si="37"/>
        <v>0</v>
      </c>
      <c r="S27" s="287">
        <f t="shared" si="37"/>
        <v>0</v>
      </c>
      <c r="T27" s="287">
        <f t="shared" si="37"/>
        <v>0</v>
      </c>
      <c r="U27" s="287">
        <f t="shared" si="37"/>
        <v>0</v>
      </c>
      <c r="V27" s="288">
        <f t="shared" si="5"/>
        <v>1455</v>
      </c>
    </row>
    <row r="28" spans="1:22" x14ac:dyDescent="0.3">
      <c r="A28" s="52">
        <v>27</v>
      </c>
      <c r="B28" s="18" t="s">
        <v>37</v>
      </c>
      <c r="C28" s="290" t="s">
        <v>38</v>
      </c>
      <c r="D28" s="269">
        <f t="shared" ref="D28:G28" si="38">D85*$D$54</f>
        <v>0</v>
      </c>
      <c r="E28" s="269">
        <f t="shared" si="38"/>
        <v>0</v>
      </c>
      <c r="F28" s="269">
        <f t="shared" si="38"/>
        <v>139.5</v>
      </c>
      <c r="G28" s="269">
        <f t="shared" si="38"/>
        <v>155</v>
      </c>
      <c r="H28" s="285">
        <f t="shared" si="3"/>
        <v>294.5</v>
      </c>
      <c r="I28" s="286"/>
      <c r="J28" s="287">
        <f t="shared" ref="J28:U28" si="39">J85*$J$54</f>
        <v>180</v>
      </c>
      <c r="K28" s="287">
        <f t="shared" si="39"/>
        <v>195</v>
      </c>
      <c r="L28" s="287">
        <f t="shared" si="39"/>
        <v>210</v>
      </c>
      <c r="M28" s="287">
        <f t="shared" si="39"/>
        <v>180</v>
      </c>
      <c r="N28" s="287">
        <f t="shared" si="39"/>
        <v>150</v>
      </c>
      <c r="O28" s="287">
        <f t="shared" si="39"/>
        <v>105</v>
      </c>
      <c r="P28" s="287">
        <f t="shared" si="39"/>
        <v>90</v>
      </c>
      <c r="Q28" s="287">
        <f t="shared" si="39"/>
        <v>60</v>
      </c>
      <c r="R28" s="287">
        <f t="shared" si="39"/>
        <v>0</v>
      </c>
      <c r="S28" s="287">
        <f t="shared" si="39"/>
        <v>0</v>
      </c>
      <c r="T28" s="287">
        <f t="shared" si="39"/>
        <v>0</v>
      </c>
      <c r="U28" s="287">
        <f t="shared" si="39"/>
        <v>0</v>
      </c>
      <c r="V28" s="288">
        <f t="shared" si="5"/>
        <v>1170</v>
      </c>
    </row>
    <row r="29" spans="1:22" x14ac:dyDescent="0.3">
      <c r="A29" s="52">
        <v>28</v>
      </c>
      <c r="B29" s="18" t="s">
        <v>39</v>
      </c>
      <c r="C29" s="290" t="s">
        <v>115</v>
      </c>
      <c r="D29" s="269">
        <f t="shared" ref="D29:G29" si="40">D86*$D$54</f>
        <v>0</v>
      </c>
      <c r="E29" s="269">
        <f t="shared" si="40"/>
        <v>0</v>
      </c>
      <c r="F29" s="269">
        <f t="shared" si="40"/>
        <v>124</v>
      </c>
      <c r="G29" s="269">
        <f t="shared" si="40"/>
        <v>139.5</v>
      </c>
      <c r="H29" s="285">
        <f t="shared" si="3"/>
        <v>263.5</v>
      </c>
      <c r="I29" s="286"/>
      <c r="J29" s="287">
        <f t="shared" ref="J29:U29" si="41">J86*$J$54</f>
        <v>150</v>
      </c>
      <c r="K29" s="287">
        <f t="shared" si="41"/>
        <v>180</v>
      </c>
      <c r="L29" s="287">
        <f t="shared" si="41"/>
        <v>195</v>
      </c>
      <c r="M29" s="287">
        <f t="shared" si="41"/>
        <v>180</v>
      </c>
      <c r="N29" s="287">
        <f t="shared" si="41"/>
        <v>150</v>
      </c>
      <c r="O29" s="287">
        <f t="shared" si="41"/>
        <v>120</v>
      </c>
      <c r="P29" s="287">
        <f t="shared" si="41"/>
        <v>75</v>
      </c>
      <c r="Q29" s="287">
        <f t="shared" si="41"/>
        <v>60</v>
      </c>
      <c r="R29" s="287">
        <f t="shared" si="41"/>
        <v>0</v>
      </c>
      <c r="S29" s="287">
        <f t="shared" si="41"/>
        <v>0</v>
      </c>
      <c r="T29" s="287">
        <f t="shared" si="41"/>
        <v>0</v>
      </c>
      <c r="U29" s="287">
        <f t="shared" si="41"/>
        <v>0</v>
      </c>
      <c r="V29" s="288">
        <f t="shared" si="5"/>
        <v>1110</v>
      </c>
    </row>
    <row r="30" spans="1:22" x14ac:dyDescent="0.3">
      <c r="A30" s="52">
        <v>29</v>
      </c>
      <c r="B30" s="18" t="s">
        <v>21</v>
      </c>
      <c r="C30" s="290" t="s">
        <v>22</v>
      </c>
      <c r="D30" s="269">
        <f t="shared" ref="D30:G30" si="42">D87*$D$54</f>
        <v>0</v>
      </c>
      <c r="E30" s="269">
        <f t="shared" si="42"/>
        <v>0</v>
      </c>
      <c r="F30" s="269">
        <f t="shared" si="42"/>
        <v>155</v>
      </c>
      <c r="G30" s="269">
        <f t="shared" si="42"/>
        <v>186</v>
      </c>
      <c r="H30" s="285">
        <f t="shared" si="3"/>
        <v>341</v>
      </c>
      <c r="I30" s="286"/>
      <c r="J30" s="287">
        <f t="shared" ref="J30:U30" si="43">J87*$J$54</f>
        <v>195</v>
      </c>
      <c r="K30" s="287">
        <f t="shared" si="43"/>
        <v>210</v>
      </c>
      <c r="L30" s="287">
        <f t="shared" si="43"/>
        <v>240</v>
      </c>
      <c r="M30" s="287">
        <f t="shared" si="43"/>
        <v>210</v>
      </c>
      <c r="N30" s="287">
        <f t="shared" si="43"/>
        <v>210</v>
      </c>
      <c r="O30" s="287">
        <f t="shared" si="43"/>
        <v>180</v>
      </c>
      <c r="P30" s="287">
        <f t="shared" si="43"/>
        <v>150</v>
      </c>
      <c r="Q30" s="287">
        <f t="shared" si="43"/>
        <v>75</v>
      </c>
      <c r="R30" s="287">
        <f t="shared" si="43"/>
        <v>0</v>
      </c>
      <c r="S30" s="287">
        <f t="shared" si="43"/>
        <v>0</v>
      </c>
      <c r="T30" s="287">
        <f t="shared" si="43"/>
        <v>0</v>
      </c>
      <c r="U30" s="287">
        <f t="shared" si="43"/>
        <v>0</v>
      </c>
      <c r="V30" s="288">
        <f t="shared" si="5"/>
        <v>1470</v>
      </c>
    </row>
    <row r="31" spans="1:22" ht="15" thickBot="1" x14ac:dyDescent="0.35">
      <c r="A31" s="52">
        <v>30</v>
      </c>
      <c r="B31" s="18" t="s">
        <v>47</v>
      </c>
      <c r="C31" s="290" t="s">
        <v>48</v>
      </c>
      <c r="D31" s="269">
        <f t="shared" ref="D31:G31" si="44">D88*$D$54</f>
        <v>0</v>
      </c>
      <c r="E31" s="269">
        <f t="shared" si="44"/>
        <v>0</v>
      </c>
      <c r="F31" s="269">
        <f t="shared" si="44"/>
        <v>155</v>
      </c>
      <c r="G31" s="269">
        <f t="shared" si="44"/>
        <v>186</v>
      </c>
      <c r="H31" s="285">
        <f t="shared" si="3"/>
        <v>341</v>
      </c>
      <c r="I31" s="286"/>
      <c r="J31" s="287">
        <f t="shared" ref="J31:U31" si="45">J88*$J$54</f>
        <v>195</v>
      </c>
      <c r="K31" s="287">
        <f t="shared" si="45"/>
        <v>210</v>
      </c>
      <c r="L31" s="287">
        <f t="shared" si="45"/>
        <v>195</v>
      </c>
      <c r="M31" s="287">
        <f t="shared" si="45"/>
        <v>180</v>
      </c>
      <c r="N31" s="287">
        <f t="shared" si="45"/>
        <v>150</v>
      </c>
      <c r="O31" s="287">
        <f t="shared" si="45"/>
        <v>120</v>
      </c>
      <c r="P31" s="287">
        <f t="shared" si="45"/>
        <v>90</v>
      </c>
      <c r="Q31" s="287">
        <f t="shared" si="45"/>
        <v>60</v>
      </c>
      <c r="R31" s="287">
        <f t="shared" si="45"/>
        <v>0</v>
      </c>
      <c r="S31" s="287">
        <f t="shared" si="45"/>
        <v>0</v>
      </c>
      <c r="T31" s="287">
        <f t="shared" si="45"/>
        <v>0</v>
      </c>
      <c r="U31" s="287">
        <f t="shared" si="45"/>
        <v>0</v>
      </c>
      <c r="V31" s="295">
        <f t="shared" si="5"/>
        <v>1200</v>
      </c>
    </row>
    <row r="32" spans="1:22" x14ac:dyDescent="0.3">
      <c r="A32" s="52">
        <v>31</v>
      </c>
      <c r="B32" s="110" t="s">
        <v>41</v>
      </c>
      <c r="C32" s="296" t="s">
        <v>42</v>
      </c>
      <c r="D32" s="269">
        <f t="shared" ref="D32:G32" si="46">D89*$D$54</f>
        <v>0</v>
      </c>
      <c r="E32" s="269">
        <f t="shared" si="46"/>
        <v>0</v>
      </c>
      <c r="F32" s="269">
        <f t="shared" si="46"/>
        <v>155</v>
      </c>
      <c r="G32" s="269">
        <f t="shared" si="46"/>
        <v>186</v>
      </c>
      <c r="H32" s="285">
        <f t="shared" si="3"/>
        <v>341</v>
      </c>
      <c r="I32" s="286"/>
      <c r="J32" s="287">
        <f t="shared" ref="J32:U32" si="47">J89*$J$54</f>
        <v>195</v>
      </c>
      <c r="K32" s="287">
        <f t="shared" si="47"/>
        <v>210</v>
      </c>
      <c r="L32" s="287">
        <f t="shared" si="47"/>
        <v>225</v>
      </c>
      <c r="M32" s="287">
        <f t="shared" si="47"/>
        <v>210</v>
      </c>
      <c r="N32" s="287">
        <f t="shared" si="47"/>
        <v>180</v>
      </c>
      <c r="O32" s="287">
        <f t="shared" si="47"/>
        <v>165</v>
      </c>
      <c r="P32" s="287">
        <f t="shared" si="47"/>
        <v>150</v>
      </c>
      <c r="Q32" s="287">
        <f t="shared" si="47"/>
        <v>75</v>
      </c>
      <c r="R32" s="287">
        <f t="shared" si="47"/>
        <v>0</v>
      </c>
      <c r="S32" s="287">
        <f t="shared" si="47"/>
        <v>0</v>
      </c>
      <c r="T32" s="287">
        <f t="shared" si="47"/>
        <v>0</v>
      </c>
      <c r="U32" s="287">
        <f t="shared" si="47"/>
        <v>0</v>
      </c>
      <c r="V32" s="288">
        <f t="shared" si="5"/>
        <v>1410</v>
      </c>
    </row>
    <row r="33" spans="1:22" x14ac:dyDescent="0.3">
      <c r="A33" s="52">
        <v>32</v>
      </c>
      <c r="B33" s="18" t="s">
        <v>55</v>
      </c>
      <c r="C33" s="290" t="s">
        <v>56</v>
      </c>
      <c r="D33" s="269">
        <f t="shared" ref="D33:G33" si="48">D90*$D$54</f>
        <v>0</v>
      </c>
      <c r="E33" s="269">
        <f t="shared" si="48"/>
        <v>0</v>
      </c>
      <c r="F33" s="269">
        <f t="shared" si="48"/>
        <v>155</v>
      </c>
      <c r="G33" s="269">
        <f t="shared" si="48"/>
        <v>186</v>
      </c>
      <c r="H33" s="285">
        <f t="shared" si="3"/>
        <v>341</v>
      </c>
      <c r="I33" s="286"/>
      <c r="J33" s="287">
        <f t="shared" ref="J33:U33" si="49">J90*$J$54</f>
        <v>210</v>
      </c>
      <c r="K33" s="287">
        <f t="shared" si="49"/>
        <v>225</v>
      </c>
      <c r="L33" s="287">
        <f t="shared" si="49"/>
        <v>210</v>
      </c>
      <c r="M33" s="287">
        <f t="shared" si="49"/>
        <v>195</v>
      </c>
      <c r="N33" s="287">
        <f t="shared" si="49"/>
        <v>150</v>
      </c>
      <c r="O33" s="287">
        <f t="shared" si="49"/>
        <v>135</v>
      </c>
      <c r="P33" s="287">
        <f t="shared" si="49"/>
        <v>105</v>
      </c>
      <c r="Q33" s="287">
        <f t="shared" si="49"/>
        <v>60</v>
      </c>
      <c r="R33" s="287">
        <f t="shared" si="49"/>
        <v>0</v>
      </c>
      <c r="S33" s="287">
        <f t="shared" si="49"/>
        <v>0</v>
      </c>
      <c r="T33" s="287">
        <f t="shared" si="49"/>
        <v>0</v>
      </c>
      <c r="U33" s="287">
        <f t="shared" si="49"/>
        <v>0</v>
      </c>
      <c r="V33" s="288">
        <f t="shared" si="5"/>
        <v>1290</v>
      </c>
    </row>
    <row r="34" spans="1:22" ht="15" thickBot="1" x14ac:dyDescent="0.35">
      <c r="A34" s="52">
        <v>33</v>
      </c>
      <c r="B34" s="111" t="s">
        <v>29</v>
      </c>
      <c r="C34" s="297" t="s">
        <v>30</v>
      </c>
      <c r="D34" s="269">
        <f t="shared" ref="D34:G34" si="50">D91*$D$54</f>
        <v>0</v>
      </c>
      <c r="E34" s="269">
        <f t="shared" si="50"/>
        <v>0</v>
      </c>
      <c r="F34" s="269">
        <f t="shared" si="50"/>
        <v>155</v>
      </c>
      <c r="G34" s="269">
        <f t="shared" si="50"/>
        <v>124</v>
      </c>
      <c r="H34" s="285">
        <f t="shared" si="3"/>
        <v>279</v>
      </c>
      <c r="I34" s="286"/>
      <c r="J34" s="287">
        <f t="shared" ref="J34:U34" si="51">J91*$J$54</f>
        <v>135</v>
      </c>
      <c r="K34" s="287">
        <f t="shared" si="51"/>
        <v>150</v>
      </c>
      <c r="L34" s="287">
        <f t="shared" si="51"/>
        <v>180</v>
      </c>
      <c r="M34" s="287">
        <f t="shared" si="51"/>
        <v>195</v>
      </c>
      <c r="N34" s="287">
        <f t="shared" si="51"/>
        <v>180</v>
      </c>
      <c r="O34" s="287">
        <f t="shared" si="51"/>
        <v>135</v>
      </c>
      <c r="P34" s="287">
        <f t="shared" si="51"/>
        <v>105</v>
      </c>
      <c r="Q34" s="287">
        <f t="shared" si="51"/>
        <v>75</v>
      </c>
      <c r="R34" s="287">
        <f t="shared" si="51"/>
        <v>0</v>
      </c>
      <c r="S34" s="287">
        <f t="shared" si="51"/>
        <v>0</v>
      </c>
      <c r="T34" s="287">
        <f t="shared" si="51"/>
        <v>0</v>
      </c>
      <c r="U34" s="287">
        <f t="shared" si="51"/>
        <v>0</v>
      </c>
      <c r="V34" s="295">
        <f t="shared" si="5"/>
        <v>1155</v>
      </c>
    </row>
    <row r="35" spans="1:22" ht="15" thickBot="1" x14ac:dyDescent="0.35">
      <c r="A35" s="52">
        <v>34</v>
      </c>
      <c r="B35" s="18" t="s">
        <v>23</v>
      </c>
      <c r="C35" s="290" t="s">
        <v>26</v>
      </c>
      <c r="D35" s="269">
        <f t="shared" ref="D35:G35" si="52">D92*$D$54</f>
        <v>0</v>
      </c>
      <c r="E35" s="269">
        <f t="shared" si="52"/>
        <v>0</v>
      </c>
      <c r="F35" s="269">
        <f t="shared" si="52"/>
        <v>0</v>
      </c>
      <c r="G35" s="269">
        <f t="shared" si="52"/>
        <v>124</v>
      </c>
      <c r="H35" s="285">
        <f t="shared" si="3"/>
        <v>124</v>
      </c>
      <c r="I35" s="286"/>
      <c r="J35" s="287">
        <f t="shared" ref="J35:U35" si="53">J92*$J$54</f>
        <v>150</v>
      </c>
      <c r="K35" s="287">
        <f t="shared" si="53"/>
        <v>165</v>
      </c>
      <c r="L35" s="287">
        <f t="shared" si="53"/>
        <v>180</v>
      </c>
      <c r="M35" s="287">
        <f t="shared" si="53"/>
        <v>210</v>
      </c>
      <c r="N35" s="287">
        <f t="shared" si="53"/>
        <v>180</v>
      </c>
      <c r="O35" s="287">
        <f t="shared" si="53"/>
        <v>165</v>
      </c>
      <c r="P35" s="287">
        <f t="shared" si="53"/>
        <v>150</v>
      </c>
      <c r="Q35" s="287">
        <f t="shared" si="53"/>
        <v>90</v>
      </c>
      <c r="R35" s="287">
        <f t="shared" si="53"/>
        <v>0</v>
      </c>
      <c r="S35" s="287">
        <f t="shared" si="53"/>
        <v>0</v>
      </c>
      <c r="T35" s="287">
        <f t="shared" si="53"/>
        <v>0</v>
      </c>
      <c r="U35" s="287">
        <f t="shared" si="53"/>
        <v>0</v>
      </c>
      <c r="V35" s="298">
        <f t="shared" si="5"/>
        <v>1290</v>
      </c>
    </row>
    <row r="36" spans="1:22" ht="15" thickBot="1" x14ac:dyDescent="0.35">
      <c r="A36" s="52">
        <v>35</v>
      </c>
      <c r="B36" s="18" t="s">
        <v>63</v>
      </c>
      <c r="C36" s="290" t="s">
        <v>64</v>
      </c>
      <c r="D36" s="269">
        <f t="shared" ref="D36:G36" si="54">D93*$D$54</f>
        <v>0</v>
      </c>
      <c r="E36" s="269">
        <f t="shared" si="54"/>
        <v>0</v>
      </c>
      <c r="F36" s="269">
        <f t="shared" si="54"/>
        <v>0</v>
      </c>
      <c r="G36" s="269">
        <f t="shared" si="54"/>
        <v>124</v>
      </c>
      <c r="H36" s="285">
        <f t="shared" si="3"/>
        <v>124</v>
      </c>
      <c r="I36" s="286"/>
      <c r="J36" s="287">
        <f t="shared" ref="J36:U36" si="55">J93*$J$54</f>
        <v>135</v>
      </c>
      <c r="K36" s="287">
        <f t="shared" si="55"/>
        <v>150</v>
      </c>
      <c r="L36" s="287">
        <f t="shared" si="55"/>
        <v>180</v>
      </c>
      <c r="M36" s="287">
        <f t="shared" si="55"/>
        <v>195</v>
      </c>
      <c r="N36" s="287">
        <f t="shared" si="55"/>
        <v>210</v>
      </c>
      <c r="O36" s="287">
        <f t="shared" si="55"/>
        <v>150</v>
      </c>
      <c r="P36" s="287">
        <f t="shared" si="55"/>
        <v>120</v>
      </c>
      <c r="Q36" s="287">
        <f t="shared" si="55"/>
        <v>90</v>
      </c>
      <c r="R36" s="287">
        <f t="shared" si="55"/>
        <v>60</v>
      </c>
      <c r="S36" s="287">
        <f t="shared" si="55"/>
        <v>0</v>
      </c>
      <c r="T36" s="287">
        <f t="shared" si="55"/>
        <v>0</v>
      </c>
      <c r="U36" s="287">
        <f t="shared" si="55"/>
        <v>0</v>
      </c>
      <c r="V36" s="295">
        <f t="shared" si="5"/>
        <v>1290</v>
      </c>
    </row>
    <row r="37" spans="1:22" ht="15" thickBot="1" x14ac:dyDescent="0.35">
      <c r="A37" s="52">
        <v>36</v>
      </c>
      <c r="B37" s="20" t="s">
        <v>27</v>
      </c>
      <c r="C37" s="299" t="s">
        <v>28</v>
      </c>
      <c r="D37" s="269">
        <f t="shared" ref="D37:G37" si="56">D94*$D$54</f>
        <v>0</v>
      </c>
      <c r="E37" s="269">
        <f t="shared" si="56"/>
        <v>0</v>
      </c>
      <c r="F37" s="269">
        <f t="shared" si="56"/>
        <v>0</v>
      </c>
      <c r="G37" s="269">
        <f t="shared" si="56"/>
        <v>155</v>
      </c>
      <c r="H37" s="285">
        <f t="shared" si="3"/>
        <v>155</v>
      </c>
      <c r="I37" s="286"/>
      <c r="J37" s="287">
        <f t="shared" ref="J37:U37" si="57">J94*$J$54</f>
        <v>180</v>
      </c>
      <c r="K37" s="287">
        <f t="shared" si="57"/>
        <v>195</v>
      </c>
      <c r="L37" s="287">
        <f t="shared" si="57"/>
        <v>210</v>
      </c>
      <c r="M37" s="287">
        <f t="shared" si="57"/>
        <v>195</v>
      </c>
      <c r="N37" s="287">
        <f t="shared" si="57"/>
        <v>180</v>
      </c>
      <c r="O37" s="287">
        <f t="shared" si="57"/>
        <v>150</v>
      </c>
      <c r="P37" s="287">
        <f t="shared" si="57"/>
        <v>120</v>
      </c>
      <c r="Q37" s="287">
        <f t="shared" si="57"/>
        <v>90</v>
      </c>
      <c r="R37" s="287">
        <f t="shared" si="57"/>
        <v>60</v>
      </c>
      <c r="S37" s="287">
        <f t="shared" si="57"/>
        <v>0</v>
      </c>
      <c r="T37" s="287">
        <f t="shared" si="57"/>
        <v>0</v>
      </c>
      <c r="U37" s="287">
        <f t="shared" si="57"/>
        <v>0</v>
      </c>
      <c r="V37" s="288">
        <f t="shared" si="5"/>
        <v>1380</v>
      </c>
    </row>
    <row r="38" spans="1:22" ht="15" thickBot="1" x14ac:dyDescent="0.35">
      <c r="A38" s="52">
        <v>37</v>
      </c>
      <c r="B38" s="112" t="s">
        <v>59</v>
      </c>
      <c r="C38" s="300" t="s">
        <v>60</v>
      </c>
      <c r="D38" s="269">
        <f t="shared" ref="D38:G38" si="58">D95*$D$54</f>
        <v>0</v>
      </c>
      <c r="E38" s="269">
        <f t="shared" si="58"/>
        <v>0</v>
      </c>
      <c r="F38" s="269">
        <f t="shared" si="58"/>
        <v>0</v>
      </c>
      <c r="G38" s="269">
        <f t="shared" si="58"/>
        <v>0</v>
      </c>
      <c r="H38" s="285">
        <f t="shared" si="3"/>
        <v>0</v>
      </c>
      <c r="I38" s="286"/>
      <c r="J38" s="287">
        <f t="shared" ref="J38:U38" si="59">J95*$J$54</f>
        <v>150</v>
      </c>
      <c r="K38" s="287">
        <f t="shared" si="59"/>
        <v>180</v>
      </c>
      <c r="L38" s="287">
        <f t="shared" si="59"/>
        <v>195</v>
      </c>
      <c r="M38" s="287">
        <f t="shared" si="59"/>
        <v>210</v>
      </c>
      <c r="N38" s="287">
        <f t="shared" si="59"/>
        <v>195</v>
      </c>
      <c r="O38" s="287">
        <f t="shared" si="59"/>
        <v>180</v>
      </c>
      <c r="P38" s="287">
        <f t="shared" si="59"/>
        <v>165</v>
      </c>
      <c r="Q38" s="287">
        <f t="shared" si="59"/>
        <v>150</v>
      </c>
      <c r="R38" s="287">
        <f t="shared" si="59"/>
        <v>120</v>
      </c>
      <c r="S38" s="287">
        <f t="shared" si="59"/>
        <v>60</v>
      </c>
      <c r="T38" s="287">
        <f t="shared" si="59"/>
        <v>0</v>
      </c>
      <c r="U38" s="287">
        <f t="shared" si="59"/>
        <v>0</v>
      </c>
      <c r="V38" s="288">
        <f t="shared" si="5"/>
        <v>1605</v>
      </c>
    </row>
    <row r="39" spans="1:22" x14ac:dyDescent="0.3">
      <c r="A39" s="52">
        <v>38</v>
      </c>
      <c r="B39" s="115" t="s">
        <v>75</v>
      </c>
      <c r="C39" s="301" t="s">
        <v>76</v>
      </c>
      <c r="D39" s="269">
        <f t="shared" ref="D39:G39" si="60">D96*$D$54</f>
        <v>0</v>
      </c>
      <c r="E39" s="269">
        <f t="shared" si="60"/>
        <v>0</v>
      </c>
      <c r="F39" s="269">
        <f t="shared" si="60"/>
        <v>0</v>
      </c>
      <c r="G39" s="269">
        <f t="shared" si="60"/>
        <v>0</v>
      </c>
      <c r="H39" s="285">
        <f t="shared" si="3"/>
        <v>0</v>
      </c>
      <c r="I39" s="286"/>
      <c r="J39" s="287">
        <f t="shared" ref="J39:U39" si="61">J96*$J$54</f>
        <v>0</v>
      </c>
      <c r="K39" s="287">
        <f t="shared" si="61"/>
        <v>150</v>
      </c>
      <c r="L39" s="287">
        <f t="shared" si="61"/>
        <v>180</v>
      </c>
      <c r="M39" s="287">
        <f t="shared" si="61"/>
        <v>150</v>
      </c>
      <c r="N39" s="287">
        <f t="shared" si="61"/>
        <v>150</v>
      </c>
      <c r="O39" s="287">
        <f t="shared" si="61"/>
        <v>120</v>
      </c>
      <c r="P39" s="287">
        <f t="shared" si="61"/>
        <v>105</v>
      </c>
      <c r="Q39" s="287">
        <f t="shared" si="61"/>
        <v>90</v>
      </c>
      <c r="R39" s="287">
        <f t="shared" si="61"/>
        <v>75</v>
      </c>
      <c r="S39" s="287">
        <f t="shared" si="61"/>
        <v>60</v>
      </c>
      <c r="T39" s="287">
        <f t="shared" si="61"/>
        <v>60</v>
      </c>
      <c r="U39" s="287">
        <f t="shared" si="61"/>
        <v>0</v>
      </c>
      <c r="V39" s="288">
        <f t="shared" si="5"/>
        <v>1140</v>
      </c>
    </row>
    <row r="40" spans="1:22" x14ac:dyDescent="0.3">
      <c r="A40" s="52">
        <v>39</v>
      </c>
      <c r="B40" s="117" t="s">
        <v>179</v>
      </c>
      <c r="C40" s="302"/>
      <c r="D40" s="269">
        <f t="shared" ref="D40:G40" si="62">D97*$D$54</f>
        <v>0</v>
      </c>
      <c r="E40" s="269">
        <f t="shared" si="62"/>
        <v>0</v>
      </c>
      <c r="F40" s="269">
        <f t="shared" si="62"/>
        <v>0</v>
      </c>
      <c r="G40" s="269">
        <f t="shared" si="62"/>
        <v>0</v>
      </c>
      <c r="H40" s="285">
        <f t="shared" si="3"/>
        <v>0</v>
      </c>
      <c r="I40" s="286"/>
      <c r="J40" s="287">
        <f t="shared" ref="J40:U40" si="63">J97*$J$54</f>
        <v>0</v>
      </c>
      <c r="K40" s="287">
        <f t="shared" si="63"/>
        <v>120</v>
      </c>
      <c r="L40" s="287">
        <f t="shared" si="63"/>
        <v>135</v>
      </c>
      <c r="M40" s="287">
        <f t="shared" si="63"/>
        <v>180</v>
      </c>
      <c r="N40" s="287">
        <f t="shared" si="63"/>
        <v>210</v>
      </c>
      <c r="O40" s="287">
        <f t="shared" si="63"/>
        <v>210</v>
      </c>
      <c r="P40" s="287">
        <f t="shared" si="63"/>
        <v>225</v>
      </c>
      <c r="Q40" s="287">
        <f t="shared" si="63"/>
        <v>180</v>
      </c>
      <c r="R40" s="287">
        <f t="shared" si="63"/>
        <v>165</v>
      </c>
      <c r="S40" s="287">
        <f t="shared" si="63"/>
        <v>120</v>
      </c>
      <c r="T40" s="287">
        <f t="shared" si="63"/>
        <v>60</v>
      </c>
      <c r="U40" s="287">
        <f t="shared" si="63"/>
        <v>0</v>
      </c>
      <c r="V40" s="288">
        <f t="shared" si="5"/>
        <v>1605</v>
      </c>
    </row>
    <row r="41" spans="1:22" ht="15" thickBot="1" x14ac:dyDescent="0.35">
      <c r="A41" s="52">
        <v>40</v>
      </c>
      <c r="B41" s="116" t="s">
        <v>164</v>
      </c>
      <c r="C41" s="303"/>
      <c r="D41" s="269">
        <f t="shared" ref="D41:G41" si="64">D98*$D$54</f>
        <v>0</v>
      </c>
      <c r="E41" s="269">
        <f t="shared" si="64"/>
        <v>0</v>
      </c>
      <c r="F41" s="269">
        <f t="shared" si="64"/>
        <v>0</v>
      </c>
      <c r="G41" s="269">
        <f t="shared" si="64"/>
        <v>0</v>
      </c>
      <c r="H41" s="285">
        <f t="shared" si="3"/>
        <v>0</v>
      </c>
      <c r="I41" s="286"/>
      <c r="J41" s="287">
        <f t="shared" ref="J41:U41" si="65">J98*$J$54</f>
        <v>0</v>
      </c>
      <c r="K41" s="287">
        <f t="shared" si="65"/>
        <v>120</v>
      </c>
      <c r="L41" s="287">
        <f t="shared" si="65"/>
        <v>150</v>
      </c>
      <c r="M41" s="287">
        <f t="shared" si="65"/>
        <v>165</v>
      </c>
      <c r="N41" s="287">
        <f t="shared" si="65"/>
        <v>180</v>
      </c>
      <c r="O41" s="287">
        <f t="shared" si="65"/>
        <v>195</v>
      </c>
      <c r="P41" s="287">
        <f t="shared" si="65"/>
        <v>210</v>
      </c>
      <c r="Q41" s="287">
        <f t="shared" si="65"/>
        <v>195</v>
      </c>
      <c r="R41" s="287">
        <f t="shared" si="65"/>
        <v>150</v>
      </c>
      <c r="S41" s="287">
        <f t="shared" si="65"/>
        <v>90</v>
      </c>
      <c r="T41" s="287">
        <f t="shared" si="65"/>
        <v>60</v>
      </c>
      <c r="U41" s="287">
        <f t="shared" si="65"/>
        <v>0</v>
      </c>
      <c r="V41" s="288">
        <f t="shared" si="5"/>
        <v>1515</v>
      </c>
    </row>
    <row r="42" spans="1:22" x14ac:dyDescent="0.3">
      <c r="A42" s="52">
        <v>41</v>
      </c>
      <c r="B42" s="18" t="s">
        <v>57</v>
      </c>
      <c r="C42" s="304" t="s">
        <v>58</v>
      </c>
      <c r="D42" s="269">
        <f t="shared" ref="D42:G42" si="66">D99*$D$54</f>
        <v>0</v>
      </c>
      <c r="E42" s="269">
        <f t="shared" si="66"/>
        <v>0</v>
      </c>
      <c r="F42" s="269">
        <f t="shared" si="66"/>
        <v>0</v>
      </c>
      <c r="G42" s="269">
        <f t="shared" si="66"/>
        <v>0</v>
      </c>
      <c r="H42" s="285">
        <f t="shared" si="3"/>
        <v>0</v>
      </c>
      <c r="I42" s="286"/>
      <c r="J42" s="287">
        <f t="shared" ref="J42:U42" si="67">J99*$J$54</f>
        <v>0</v>
      </c>
      <c r="K42" s="287">
        <f t="shared" si="67"/>
        <v>0</v>
      </c>
      <c r="L42" s="287">
        <f t="shared" si="67"/>
        <v>180</v>
      </c>
      <c r="M42" s="287">
        <f t="shared" si="67"/>
        <v>195</v>
      </c>
      <c r="N42" s="287">
        <f t="shared" si="67"/>
        <v>210</v>
      </c>
      <c r="O42" s="287">
        <f t="shared" si="67"/>
        <v>225</v>
      </c>
      <c r="P42" s="287">
        <f t="shared" si="67"/>
        <v>240</v>
      </c>
      <c r="Q42" s="287">
        <f t="shared" si="67"/>
        <v>180</v>
      </c>
      <c r="R42" s="287">
        <f t="shared" si="67"/>
        <v>180</v>
      </c>
      <c r="S42" s="287">
        <f t="shared" si="67"/>
        <v>165</v>
      </c>
      <c r="T42" s="287">
        <f t="shared" si="67"/>
        <v>150</v>
      </c>
      <c r="U42" s="287">
        <f t="shared" si="67"/>
        <v>120</v>
      </c>
      <c r="V42" s="288">
        <f t="shared" si="5"/>
        <v>1845</v>
      </c>
    </row>
    <row r="43" spans="1:22" x14ac:dyDescent="0.3">
      <c r="A43" s="52">
        <v>42</v>
      </c>
      <c r="B43" s="52" t="s">
        <v>138</v>
      </c>
      <c r="C43" s="305"/>
      <c r="D43" s="269">
        <f t="shared" ref="D43:G43" si="68">D100*$D$54</f>
        <v>0</v>
      </c>
      <c r="E43" s="269">
        <f t="shared" si="68"/>
        <v>0</v>
      </c>
      <c r="F43" s="269">
        <f t="shared" si="68"/>
        <v>0</v>
      </c>
      <c r="G43" s="269">
        <f t="shared" si="68"/>
        <v>0</v>
      </c>
      <c r="H43" s="285">
        <f t="shared" si="3"/>
        <v>0</v>
      </c>
      <c r="I43" s="286"/>
      <c r="J43" s="287">
        <f t="shared" ref="J43:U43" si="69">J100*$J$54</f>
        <v>0</v>
      </c>
      <c r="K43" s="287">
        <f t="shared" si="69"/>
        <v>0</v>
      </c>
      <c r="L43" s="287">
        <f t="shared" si="69"/>
        <v>150</v>
      </c>
      <c r="M43" s="287">
        <f t="shared" si="69"/>
        <v>180</v>
      </c>
      <c r="N43" s="287">
        <f t="shared" si="69"/>
        <v>210</v>
      </c>
      <c r="O43" s="287">
        <f t="shared" si="69"/>
        <v>195</v>
      </c>
      <c r="P43" s="287">
        <f t="shared" si="69"/>
        <v>180</v>
      </c>
      <c r="Q43" s="287">
        <f t="shared" si="69"/>
        <v>150</v>
      </c>
      <c r="R43" s="287">
        <f t="shared" si="69"/>
        <v>135</v>
      </c>
      <c r="S43" s="287">
        <f t="shared" si="69"/>
        <v>120</v>
      </c>
      <c r="T43" s="287">
        <f t="shared" si="69"/>
        <v>105</v>
      </c>
      <c r="U43" s="287">
        <f t="shared" si="69"/>
        <v>90</v>
      </c>
      <c r="V43" s="288">
        <f t="shared" si="5"/>
        <v>1515</v>
      </c>
    </row>
    <row r="44" spans="1:22" x14ac:dyDescent="0.3">
      <c r="A44" s="52">
        <v>43</v>
      </c>
      <c r="B44" s="52" t="s">
        <v>51</v>
      </c>
      <c r="C44" s="305" t="s">
        <v>107</v>
      </c>
      <c r="D44" s="269">
        <f t="shared" ref="D44:G44" si="70">D101*$D$54</f>
        <v>0</v>
      </c>
      <c r="E44" s="269">
        <f t="shared" si="70"/>
        <v>0</v>
      </c>
      <c r="F44" s="269">
        <f t="shared" si="70"/>
        <v>0</v>
      </c>
      <c r="G44" s="269">
        <f t="shared" si="70"/>
        <v>0</v>
      </c>
      <c r="H44" s="285">
        <f t="shared" si="3"/>
        <v>0</v>
      </c>
      <c r="I44" s="286"/>
      <c r="J44" s="287">
        <f t="shared" ref="J44:U44" si="71">J101*$J$54</f>
        <v>0</v>
      </c>
      <c r="K44" s="287">
        <f t="shared" si="71"/>
        <v>0</v>
      </c>
      <c r="L44" s="287">
        <f t="shared" si="71"/>
        <v>0</v>
      </c>
      <c r="M44" s="287">
        <f t="shared" si="71"/>
        <v>120</v>
      </c>
      <c r="N44" s="287">
        <f t="shared" si="71"/>
        <v>120</v>
      </c>
      <c r="O44" s="287">
        <f t="shared" si="71"/>
        <v>150</v>
      </c>
      <c r="P44" s="287">
        <f t="shared" si="71"/>
        <v>180</v>
      </c>
      <c r="Q44" s="287">
        <f t="shared" si="71"/>
        <v>195</v>
      </c>
      <c r="R44" s="287">
        <f t="shared" si="71"/>
        <v>195</v>
      </c>
      <c r="S44" s="287">
        <f t="shared" si="71"/>
        <v>150</v>
      </c>
      <c r="T44" s="287">
        <f t="shared" si="71"/>
        <v>120</v>
      </c>
      <c r="U44" s="287">
        <f t="shared" si="71"/>
        <v>90</v>
      </c>
      <c r="V44" s="288">
        <f t="shared" si="5"/>
        <v>1320</v>
      </c>
    </row>
    <row r="45" spans="1:22" x14ac:dyDescent="0.3">
      <c r="A45" s="52">
        <v>44</v>
      </c>
      <c r="B45" s="52" t="s">
        <v>133</v>
      </c>
      <c r="C45" s="305"/>
      <c r="D45" s="269">
        <f t="shared" ref="D45:G45" si="72">D102*$D$54</f>
        <v>0</v>
      </c>
      <c r="E45" s="269">
        <f t="shared" si="72"/>
        <v>0</v>
      </c>
      <c r="F45" s="269">
        <f t="shared" si="72"/>
        <v>0</v>
      </c>
      <c r="G45" s="269">
        <f t="shared" si="72"/>
        <v>0</v>
      </c>
      <c r="H45" s="285">
        <f t="shared" si="3"/>
        <v>0</v>
      </c>
      <c r="I45" s="286"/>
      <c r="J45" s="287">
        <f t="shared" ref="J45:U45" si="73">J102*$J$54</f>
        <v>0</v>
      </c>
      <c r="K45" s="287">
        <f t="shared" si="73"/>
        <v>0</v>
      </c>
      <c r="L45" s="287">
        <f t="shared" si="73"/>
        <v>0</v>
      </c>
      <c r="M45" s="287">
        <f t="shared" si="73"/>
        <v>0</v>
      </c>
      <c r="N45" s="287">
        <f t="shared" si="73"/>
        <v>90</v>
      </c>
      <c r="O45" s="287">
        <f t="shared" si="73"/>
        <v>105</v>
      </c>
      <c r="P45" s="287">
        <f t="shared" si="73"/>
        <v>135</v>
      </c>
      <c r="Q45" s="287">
        <f t="shared" si="73"/>
        <v>180</v>
      </c>
      <c r="R45" s="287">
        <f t="shared" si="73"/>
        <v>195</v>
      </c>
      <c r="S45" s="287">
        <f t="shared" si="73"/>
        <v>195</v>
      </c>
      <c r="T45" s="287">
        <f t="shared" si="73"/>
        <v>180</v>
      </c>
      <c r="U45" s="287">
        <f t="shared" si="73"/>
        <v>150</v>
      </c>
      <c r="V45" s="306">
        <f t="shared" si="5"/>
        <v>1230</v>
      </c>
    </row>
    <row r="46" spans="1:22" x14ac:dyDescent="0.3">
      <c r="A46" s="52">
        <v>45</v>
      </c>
      <c r="B46" s="52" t="s">
        <v>180</v>
      </c>
      <c r="C46" s="305"/>
      <c r="D46" s="269">
        <f t="shared" ref="D46:G46" si="74">D103*$D$54</f>
        <v>0</v>
      </c>
      <c r="E46" s="269">
        <f t="shared" si="74"/>
        <v>0</v>
      </c>
      <c r="F46" s="269">
        <f t="shared" si="74"/>
        <v>0</v>
      </c>
      <c r="G46" s="269">
        <f t="shared" si="74"/>
        <v>0</v>
      </c>
      <c r="H46" s="285">
        <f t="shared" si="3"/>
        <v>0</v>
      </c>
      <c r="I46" s="286"/>
      <c r="J46" s="287">
        <f t="shared" ref="J46:U46" si="75">J103*$J$54</f>
        <v>0</v>
      </c>
      <c r="K46" s="287">
        <f t="shared" si="75"/>
        <v>0</v>
      </c>
      <c r="L46" s="287">
        <f t="shared" si="75"/>
        <v>0</v>
      </c>
      <c r="M46" s="287">
        <f t="shared" si="75"/>
        <v>0</v>
      </c>
      <c r="N46" s="287">
        <f t="shared" si="75"/>
        <v>0</v>
      </c>
      <c r="O46" s="287">
        <f t="shared" si="75"/>
        <v>0</v>
      </c>
      <c r="P46" s="287">
        <f t="shared" si="75"/>
        <v>120</v>
      </c>
      <c r="Q46" s="287">
        <f t="shared" si="75"/>
        <v>120</v>
      </c>
      <c r="R46" s="287">
        <f t="shared" si="75"/>
        <v>150</v>
      </c>
      <c r="S46" s="287">
        <f t="shared" si="75"/>
        <v>165</v>
      </c>
      <c r="T46" s="287">
        <f t="shared" si="75"/>
        <v>180</v>
      </c>
      <c r="U46" s="287">
        <f t="shared" si="75"/>
        <v>180</v>
      </c>
      <c r="V46" s="307">
        <f t="shared" si="5"/>
        <v>915</v>
      </c>
    </row>
    <row r="47" spans="1:22" x14ac:dyDescent="0.3">
      <c r="A47" s="52">
        <v>46</v>
      </c>
      <c r="B47" s="52" t="s">
        <v>5</v>
      </c>
      <c r="C47" s="305" t="s">
        <v>6</v>
      </c>
      <c r="D47" s="269">
        <f t="shared" ref="D47:G47" si="76">D104*$D$54</f>
        <v>0</v>
      </c>
      <c r="E47" s="269">
        <f t="shared" si="76"/>
        <v>0</v>
      </c>
      <c r="F47" s="269">
        <f t="shared" si="76"/>
        <v>0</v>
      </c>
      <c r="G47" s="269">
        <f t="shared" si="76"/>
        <v>0</v>
      </c>
      <c r="H47" s="285">
        <f t="shared" si="3"/>
        <v>0</v>
      </c>
      <c r="I47" s="286"/>
      <c r="J47" s="287">
        <f t="shared" ref="J47:U47" si="77">J104*$J$54</f>
        <v>0</v>
      </c>
      <c r="K47" s="287">
        <f t="shared" si="77"/>
        <v>0</v>
      </c>
      <c r="L47" s="287">
        <f t="shared" si="77"/>
        <v>0</v>
      </c>
      <c r="M47" s="287">
        <f t="shared" si="77"/>
        <v>0</v>
      </c>
      <c r="N47" s="287">
        <f t="shared" si="77"/>
        <v>0</v>
      </c>
      <c r="O47" s="287">
        <f t="shared" si="77"/>
        <v>0</v>
      </c>
      <c r="P47" s="287">
        <f t="shared" si="77"/>
        <v>0</v>
      </c>
      <c r="Q47" s="287">
        <f t="shared" si="77"/>
        <v>0</v>
      </c>
      <c r="R47" s="287">
        <f t="shared" si="77"/>
        <v>0</v>
      </c>
      <c r="S47" s="287">
        <f t="shared" si="77"/>
        <v>120</v>
      </c>
      <c r="T47" s="287">
        <f t="shared" si="77"/>
        <v>135</v>
      </c>
      <c r="U47" s="287">
        <f t="shared" si="77"/>
        <v>150</v>
      </c>
      <c r="V47" s="307"/>
    </row>
    <row r="48" spans="1:22" x14ac:dyDescent="0.3">
      <c r="A48" s="52">
        <v>47</v>
      </c>
      <c r="B48" s="52" t="s">
        <v>134</v>
      </c>
      <c r="C48" s="305"/>
      <c r="D48" s="269">
        <f t="shared" ref="D48:G48" si="78">D105*$D$54</f>
        <v>0</v>
      </c>
      <c r="E48" s="269">
        <f t="shared" si="78"/>
        <v>0</v>
      </c>
      <c r="F48" s="269">
        <f t="shared" si="78"/>
        <v>0</v>
      </c>
      <c r="G48" s="269">
        <f t="shared" si="78"/>
        <v>0</v>
      </c>
      <c r="H48" s="285">
        <f t="shared" si="3"/>
        <v>0</v>
      </c>
      <c r="I48" s="286"/>
      <c r="J48" s="287">
        <f t="shared" ref="J48:U48" si="79">J105*$J$54</f>
        <v>0</v>
      </c>
      <c r="K48" s="287">
        <f t="shared" si="79"/>
        <v>0</v>
      </c>
      <c r="L48" s="287">
        <f t="shared" si="79"/>
        <v>0</v>
      </c>
      <c r="M48" s="287">
        <f t="shared" si="79"/>
        <v>0</v>
      </c>
      <c r="N48" s="287">
        <f t="shared" si="79"/>
        <v>0</v>
      </c>
      <c r="O48" s="287">
        <f t="shared" si="79"/>
        <v>0</v>
      </c>
      <c r="P48" s="287">
        <f t="shared" si="79"/>
        <v>0</v>
      </c>
      <c r="Q48" s="287">
        <f t="shared" si="79"/>
        <v>0</v>
      </c>
      <c r="R48" s="287">
        <f t="shared" si="79"/>
        <v>0</v>
      </c>
      <c r="S48" s="287">
        <f t="shared" si="79"/>
        <v>150</v>
      </c>
      <c r="T48" s="287">
        <f t="shared" si="79"/>
        <v>165</v>
      </c>
      <c r="U48" s="287">
        <f t="shared" si="79"/>
        <v>180</v>
      </c>
      <c r="V48" s="307"/>
    </row>
    <row r="49" spans="1:23" ht="15.6" x14ac:dyDescent="0.3">
      <c r="A49" s="308"/>
      <c r="B49" s="309"/>
      <c r="C49" s="309"/>
    </row>
    <row r="50" spans="1:23" ht="15.6" x14ac:dyDescent="0.3">
      <c r="A50" s="308"/>
      <c r="B50" s="309"/>
      <c r="C50" s="309"/>
      <c r="D50" s="270">
        <f>SUM(D2:D48)</f>
        <v>3084.5</v>
      </c>
      <c r="E50" s="270">
        <f t="shared" ref="E50:G50" si="80">SUM(E2:E48)</f>
        <v>3301.5</v>
      </c>
      <c r="F50" s="270">
        <f t="shared" si="80"/>
        <v>5316.5</v>
      </c>
      <c r="G50" s="270">
        <f t="shared" si="80"/>
        <v>6169</v>
      </c>
      <c r="H50" s="270"/>
      <c r="I50" s="270"/>
      <c r="J50" s="270">
        <f>SUM(J2:J48)</f>
        <v>6360</v>
      </c>
      <c r="K50" s="270">
        <f t="shared" ref="K50:U50" si="81">SUM(K2:K48)</f>
        <v>6885</v>
      </c>
      <c r="L50" s="270">
        <f t="shared" si="81"/>
        <v>7260</v>
      </c>
      <c r="M50" s="270">
        <f t="shared" si="81"/>
        <v>6870</v>
      </c>
      <c r="N50" s="270">
        <f t="shared" si="81"/>
        <v>6210</v>
      </c>
      <c r="O50" s="270">
        <f t="shared" si="81"/>
        <v>5190</v>
      </c>
      <c r="P50" s="270">
        <f t="shared" si="81"/>
        <v>4365</v>
      </c>
      <c r="Q50" s="270">
        <f t="shared" si="81"/>
        <v>2805</v>
      </c>
      <c r="R50" s="270">
        <f t="shared" si="81"/>
        <v>1740</v>
      </c>
      <c r="S50" s="270">
        <f t="shared" si="81"/>
        <v>2520</v>
      </c>
      <c r="T50" s="270">
        <f t="shared" si="81"/>
        <v>2895</v>
      </c>
      <c r="U50" s="270">
        <f t="shared" si="81"/>
        <v>3555</v>
      </c>
      <c r="V50" s="310">
        <f>SUM(D50:U50)</f>
        <v>74526.5</v>
      </c>
      <c r="W50" s="118">
        <f>V50/365</f>
        <v>204.18219178082191</v>
      </c>
    </row>
    <row r="51" spans="1:23" ht="9" customHeight="1" x14ac:dyDescent="0.3">
      <c r="A51" s="308"/>
      <c r="B51" s="309"/>
      <c r="C51" s="309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</row>
    <row r="52" spans="1:23" ht="12" customHeight="1" x14ac:dyDescent="0.3">
      <c r="A52" s="309" t="s">
        <v>177</v>
      </c>
      <c r="B52" s="309"/>
      <c r="C52" s="309"/>
      <c r="D52" s="271">
        <f>D50/D54</f>
        <v>99.5</v>
      </c>
      <c r="E52" s="271">
        <f t="shared" ref="E52:U52" si="82">E50/E54</f>
        <v>106.5</v>
      </c>
      <c r="F52" s="271">
        <f t="shared" si="82"/>
        <v>189.875</v>
      </c>
      <c r="G52" s="271">
        <f t="shared" si="82"/>
        <v>199</v>
      </c>
      <c r="H52" s="271"/>
      <c r="I52" s="271"/>
      <c r="J52" s="271">
        <f t="shared" si="82"/>
        <v>212</v>
      </c>
      <c r="K52" s="271">
        <f t="shared" si="82"/>
        <v>222.09677419354838</v>
      </c>
      <c r="L52" s="271">
        <f t="shared" si="82"/>
        <v>242</v>
      </c>
      <c r="M52" s="271">
        <f t="shared" si="82"/>
        <v>221.61290322580646</v>
      </c>
      <c r="N52" s="271">
        <f t="shared" si="82"/>
        <v>200.32258064516128</v>
      </c>
      <c r="O52" s="271">
        <f t="shared" si="82"/>
        <v>173</v>
      </c>
      <c r="P52" s="271">
        <f t="shared" si="82"/>
        <v>140.80645161290323</v>
      </c>
      <c r="Q52" s="271">
        <f t="shared" si="82"/>
        <v>93.5</v>
      </c>
      <c r="R52" s="271">
        <f t="shared" si="82"/>
        <v>56.12903225806452</v>
      </c>
      <c r="S52" s="271">
        <f t="shared" si="82"/>
        <v>81.290322580645167</v>
      </c>
      <c r="T52" s="271">
        <f t="shared" si="82"/>
        <v>103.39285714285714</v>
      </c>
      <c r="U52" s="271">
        <f t="shared" si="82"/>
        <v>114.6774193548387</v>
      </c>
    </row>
    <row r="53" spans="1:23" ht="9" customHeight="1" x14ac:dyDescent="0.3">
      <c r="A53" s="308"/>
    </row>
    <row r="54" spans="1:23" x14ac:dyDescent="0.3">
      <c r="A54" s="271" t="s">
        <v>173</v>
      </c>
      <c r="B54" s="312"/>
      <c r="C54" s="313"/>
      <c r="D54" s="271">
        <v>31</v>
      </c>
      <c r="E54" s="271">
        <v>31</v>
      </c>
      <c r="F54" s="271">
        <v>28</v>
      </c>
      <c r="G54" s="271">
        <v>31</v>
      </c>
      <c r="H54" s="271"/>
      <c r="I54" s="314"/>
      <c r="J54" s="271">
        <v>30</v>
      </c>
      <c r="K54" s="271">
        <v>31</v>
      </c>
      <c r="L54" s="271">
        <v>30</v>
      </c>
      <c r="M54" s="271">
        <v>31</v>
      </c>
      <c r="N54" s="271">
        <v>31</v>
      </c>
      <c r="O54" s="315">
        <v>30</v>
      </c>
      <c r="P54" s="315">
        <v>31</v>
      </c>
      <c r="Q54" s="271">
        <v>30</v>
      </c>
      <c r="R54" s="271">
        <v>31</v>
      </c>
      <c r="S54" s="271">
        <v>31</v>
      </c>
      <c r="T54" s="271">
        <v>28</v>
      </c>
      <c r="U54" s="271">
        <v>31</v>
      </c>
    </row>
    <row r="56" spans="1:23" x14ac:dyDescent="0.3">
      <c r="D56" s="333" t="s">
        <v>172</v>
      </c>
      <c r="E56" s="333"/>
      <c r="F56" s="333"/>
      <c r="G56" s="333"/>
      <c r="H56" s="333"/>
      <c r="I56" s="270"/>
      <c r="J56" s="337" t="s">
        <v>171</v>
      </c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270"/>
    </row>
    <row r="57" spans="1:23" x14ac:dyDescent="0.3">
      <c r="D57" s="334" t="s">
        <v>96</v>
      </c>
      <c r="E57" s="335"/>
      <c r="F57" s="335"/>
      <c r="G57" s="335"/>
      <c r="H57" s="336"/>
      <c r="J57" s="334" t="s">
        <v>96</v>
      </c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6"/>
    </row>
    <row r="58" spans="1:23" x14ac:dyDescent="0.3">
      <c r="A58" s="280" t="s">
        <v>0</v>
      </c>
      <c r="B58" s="280" t="s">
        <v>1</v>
      </c>
      <c r="C58" s="280" t="s">
        <v>2</v>
      </c>
      <c r="D58" s="272">
        <v>44166</v>
      </c>
      <c r="E58" s="272">
        <v>44197</v>
      </c>
      <c r="F58" s="272">
        <v>44228</v>
      </c>
      <c r="G58" s="272">
        <v>44256</v>
      </c>
      <c r="H58" s="336"/>
      <c r="I58" s="282"/>
      <c r="J58" s="283">
        <v>44287</v>
      </c>
      <c r="K58" s="283">
        <v>44317</v>
      </c>
      <c r="L58" s="283">
        <v>44348</v>
      </c>
      <c r="M58" s="283">
        <v>44378</v>
      </c>
      <c r="N58" s="283">
        <v>44409</v>
      </c>
      <c r="O58" s="283">
        <v>44440</v>
      </c>
      <c r="P58" s="283">
        <v>44470</v>
      </c>
      <c r="Q58" s="283">
        <v>44501</v>
      </c>
      <c r="R58" s="283">
        <v>44531</v>
      </c>
      <c r="S58" s="283">
        <v>44562</v>
      </c>
      <c r="T58" s="283">
        <v>44593</v>
      </c>
      <c r="U58" s="283">
        <v>44621</v>
      </c>
      <c r="V58" s="336"/>
    </row>
    <row r="59" spans="1:23" x14ac:dyDescent="0.3">
      <c r="A59" s="52">
        <v>1</v>
      </c>
      <c r="B59" s="52" t="s">
        <v>65</v>
      </c>
      <c r="C59" s="156" t="s">
        <v>66</v>
      </c>
      <c r="D59" s="273">
        <v>2</v>
      </c>
      <c r="E59" s="273">
        <v>1.5</v>
      </c>
      <c r="F59" s="273">
        <v>0</v>
      </c>
      <c r="G59" s="273">
        <v>0</v>
      </c>
      <c r="H59" s="316"/>
      <c r="I59" s="286"/>
      <c r="J59" s="287">
        <v>0</v>
      </c>
      <c r="K59" s="287">
        <v>0</v>
      </c>
      <c r="L59" s="287">
        <v>0</v>
      </c>
      <c r="M59" s="287">
        <v>0</v>
      </c>
      <c r="N59" s="287">
        <v>0</v>
      </c>
      <c r="O59" s="287">
        <v>3</v>
      </c>
      <c r="P59" s="287">
        <v>3</v>
      </c>
      <c r="Q59" s="287">
        <v>2.5</v>
      </c>
      <c r="R59" s="287">
        <v>2.5</v>
      </c>
      <c r="S59" s="287">
        <v>2.5</v>
      </c>
      <c r="T59" s="287">
        <v>2</v>
      </c>
      <c r="U59" s="287">
        <v>1.5</v>
      </c>
      <c r="V59" s="317"/>
    </row>
    <row r="60" spans="1:23" x14ac:dyDescent="0.3">
      <c r="A60" s="52">
        <v>2</v>
      </c>
      <c r="B60" s="21" t="s">
        <v>73</v>
      </c>
      <c r="C60" s="289" t="s">
        <v>74</v>
      </c>
      <c r="D60" s="273">
        <v>4.5</v>
      </c>
      <c r="E60" s="273">
        <v>3</v>
      </c>
      <c r="F60" s="273">
        <v>0</v>
      </c>
      <c r="G60" s="273">
        <v>0</v>
      </c>
      <c r="H60" s="316"/>
      <c r="I60" s="286"/>
      <c r="J60" s="287">
        <v>0</v>
      </c>
      <c r="K60" s="287">
        <v>4.5</v>
      </c>
      <c r="L60" s="287">
        <v>5.5</v>
      </c>
      <c r="M60" s="287">
        <v>6</v>
      </c>
      <c r="N60" s="287">
        <v>6.5</v>
      </c>
      <c r="O60" s="287">
        <v>7</v>
      </c>
      <c r="P60" s="287">
        <v>7</v>
      </c>
      <c r="Q60" s="287">
        <v>6.5</v>
      </c>
      <c r="R60" s="287">
        <v>6</v>
      </c>
      <c r="S60" s="287">
        <v>4.5</v>
      </c>
      <c r="T60" s="287">
        <v>3</v>
      </c>
      <c r="U60" s="287">
        <v>0</v>
      </c>
      <c r="V60" s="317"/>
    </row>
    <row r="61" spans="1:23" x14ac:dyDescent="0.3">
      <c r="A61" s="52">
        <v>3</v>
      </c>
      <c r="B61" s="18" t="s">
        <v>69</v>
      </c>
      <c r="C61" s="290" t="s">
        <v>70</v>
      </c>
      <c r="D61" s="273">
        <v>4.5</v>
      </c>
      <c r="E61" s="273">
        <v>5</v>
      </c>
      <c r="F61" s="273">
        <v>4</v>
      </c>
      <c r="G61" s="273">
        <v>2.5</v>
      </c>
      <c r="H61" s="316"/>
      <c r="I61" s="286"/>
      <c r="J61" s="287">
        <v>0</v>
      </c>
      <c r="K61" s="287">
        <v>0</v>
      </c>
      <c r="L61" s="287">
        <v>0</v>
      </c>
      <c r="M61" s="287">
        <v>0</v>
      </c>
      <c r="N61" s="287">
        <v>0</v>
      </c>
      <c r="O61" s="287">
        <v>0</v>
      </c>
      <c r="P61" s="287">
        <v>0</v>
      </c>
      <c r="Q61" s="287">
        <v>0</v>
      </c>
      <c r="R61" s="287">
        <v>0</v>
      </c>
      <c r="S61" s="287">
        <v>3</v>
      </c>
      <c r="T61" s="287">
        <v>4.5</v>
      </c>
      <c r="U61" s="287">
        <v>6</v>
      </c>
      <c r="V61" s="317"/>
    </row>
    <row r="62" spans="1:23" x14ac:dyDescent="0.3">
      <c r="A62" s="52">
        <v>4</v>
      </c>
      <c r="B62" s="52" t="s">
        <v>174</v>
      </c>
      <c r="C62" s="156"/>
      <c r="D62" s="273">
        <v>5</v>
      </c>
      <c r="E62" s="273">
        <v>5</v>
      </c>
      <c r="F62" s="273">
        <v>6</v>
      </c>
      <c r="G62" s="273">
        <v>6.5</v>
      </c>
      <c r="H62" s="316"/>
      <c r="I62" s="286"/>
      <c r="J62" s="287">
        <v>6.5</v>
      </c>
      <c r="K62" s="287">
        <v>5</v>
      </c>
      <c r="L62" s="287">
        <v>4.5</v>
      </c>
      <c r="M62" s="287">
        <v>4</v>
      </c>
      <c r="N62" s="287">
        <v>3</v>
      </c>
      <c r="O62" s="287">
        <v>0</v>
      </c>
      <c r="P62" s="287">
        <v>0</v>
      </c>
      <c r="Q62" s="287">
        <v>0</v>
      </c>
      <c r="R62" s="287">
        <v>0</v>
      </c>
      <c r="S62" s="287">
        <v>4</v>
      </c>
      <c r="T62" s="287">
        <v>5</v>
      </c>
      <c r="U62" s="287">
        <v>6</v>
      </c>
      <c r="V62" s="317"/>
    </row>
    <row r="63" spans="1:23" x14ac:dyDescent="0.3">
      <c r="A63" s="52">
        <v>5</v>
      </c>
      <c r="B63" s="52" t="s">
        <v>175</v>
      </c>
      <c r="C63" s="156"/>
      <c r="D63" s="273">
        <v>5</v>
      </c>
      <c r="E63" s="273">
        <v>5.5</v>
      </c>
      <c r="F63" s="273">
        <v>6</v>
      </c>
      <c r="G63" s="273">
        <v>6.5</v>
      </c>
      <c r="H63" s="316"/>
      <c r="I63" s="286"/>
      <c r="J63" s="287">
        <v>6.5</v>
      </c>
      <c r="K63" s="287">
        <v>6</v>
      </c>
      <c r="L63" s="287">
        <v>5.5</v>
      </c>
      <c r="M63" s="287">
        <v>4</v>
      </c>
      <c r="N63" s="287">
        <v>2.5</v>
      </c>
      <c r="O63" s="287">
        <v>0</v>
      </c>
      <c r="P63" s="287">
        <v>0</v>
      </c>
      <c r="Q63" s="287">
        <v>0</v>
      </c>
      <c r="R63" s="287">
        <v>0</v>
      </c>
      <c r="S63" s="287">
        <v>4</v>
      </c>
      <c r="T63" s="287">
        <v>5</v>
      </c>
      <c r="U63" s="287">
        <v>5</v>
      </c>
      <c r="V63" s="317"/>
    </row>
    <row r="64" spans="1:23" x14ac:dyDescent="0.3">
      <c r="A64" s="52">
        <v>6</v>
      </c>
      <c r="B64" s="18" t="s">
        <v>14</v>
      </c>
      <c r="C64" s="290" t="s">
        <v>13</v>
      </c>
      <c r="D64" s="273">
        <v>5</v>
      </c>
      <c r="E64" s="273">
        <v>5.5</v>
      </c>
      <c r="F64" s="273">
        <v>6</v>
      </c>
      <c r="G64" s="273">
        <v>6.5</v>
      </c>
      <c r="H64" s="316"/>
      <c r="I64" s="286"/>
      <c r="J64" s="287">
        <v>7</v>
      </c>
      <c r="K64" s="287">
        <v>6</v>
      </c>
      <c r="L64" s="287">
        <v>5.5</v>
      </c>
      <c r="M64" s="287">
        <v>3.5</v>
      </c>
      <c r="N64" s="287">
        <v>2.5</v>
      </c>
      <c r="O64" s="287">
        <v>0</v>
      </c>
      <c r="P64" s="287">
        <v>0</v>
      </c>
      <c r="Q64" s="287">
        <v>0</v>
      </c>
      <c r="R64" s="287">
        <v>0</v>
      </c>
      <c r="S64" s="287">
        <v>5</v>
      </c>
      <c r="T64" s="287">
        <v>5.5</v>
      </c>
      <c r="U64" s="287">
        <v>6</v>
      </c>
      <c r="V64" s="317"/>
    </row>
    <row r="65" spans="1:22" x14ac:dyDescent="0.3">
      <c r="A65" s="52">
        <v>7</v>
      </c>
      <c r="B65" s="18" t="s">
        <v>81</v>
      </c>
      <c r="C65" s="290" t="s">
        <v>82</v>
      </c>
      <c r="D65" s="273">
        <v>6</v>
      </c>
      <c r="E65" s="273">
        <v>6.5</v>
      </c>
      <c r="F65" s="273">
        <v>7</v>
      </c>
      <c r="G65" s="273">
        <v>7.5</v>
      </c>
      <c r="H65" s="316"/>
      <c r="I65" s="286"/>
      <c r="J65" s="287">
        <v>8</v>
      </c>
      <c r="K65" s="287">
        <v>7</v>
      </c>
      <c r="L65" s="287">
        <v>6</v>
      </c>
      <c r="M65" s="287">
        <v>5</v>
      </c>
      <c r="N65" s="287">
        <v>3</v>
      </c>
      <c r="O65" s="287">
        <v>0</v>
      </c>
      <c r="P65" s="287">
        <v>0</v>
      </c>
      <c r="Q65" s="287">
        <v>0</v>
      </c>
      <c r="R65" s="287">
        <v>0</v>
      </c>
      <c r="S65" s="287">
        <v>5</v>
      </c>
      <c r="T65" s="287">
        <v>5.5</v>
      </c>
      <c r="U65" s="287">
        <v>6</v>
      </c>
      <c r="V65" s="317"/>
    </row>
    <row r="66" spans="1:22" x14ac:dyDescent="0.3">
      <c r="A66" s="52">
        <v>8</v>
      </c>
      <c r="B66" s="18" t="s">
        <v>77</v>
      </c>
      <c r="C66" s="290" t="s">
        <v>78</v>
      </c>
      <c r="D66" s="273">
        <v>3.5</v>
      </c>
      <c r="E66" s="273">
        <v>4</v>
      </c>
      <c r="F66" s="273">
        <v>4.5</v>
      </c>
      <c r="G66" s="273">
        <v>5</v>
      </c>
      <c r="H66" s="316"/>
      <c r="I66" s="286"/>
      <c r="J66" s="287">
        <v>3</v>
      </c>
      <c r="K66" s="287">
        <v>2.5</v>
      </c>
      <c r="L66" s="287">
        <v>2</v>
      </c>
      <c r="M66" s="287">
        <v>2</v>
      </c>
      <c r="N66" s="287">
        <v>1.5</v>
      </c>
      <c r="O66" s="287">
        <v>0</v>
      </c>
      <c r="P66" s="287">
        <v>0</v>
      </c>
      <c r="Q66" s="287">
        <v>0</v>
      </c>
      <c r="R66" s="287">
        <v>0</v>
      </c>
      <c r="S66" s="287">
        <v>2.5</v>
      </c>
      <c r="T66" s="287">
        <v>3</v>
      </c>
      <c r="U66" s="287">
        <v>3</v>
      </c>
      <c r="V66" s="317"/>
    </row>
    <row r="67" spans="1:22" x14ac:dyDescent="0.3">
      <c r="A67" s="52">
        <v>9</v>
      </c>
      <c r="B67" s="18" t="s">
        <v>88</v>
      </c>
      <c r="C67" s="290" t="s">
        <v>89</v>
      </c>
      <c r="D67" s="273">
        <v>6</v>
      </c>
      <c r="E67" s="273">
        <v>6.5</v>
      </c>
      <c r="F67" s="273">
        <v>7</v>
      </c>
      <c r="G67" s="273">
        <v>8</v>
      </c>
      <c r="H67" s="316"/>
      <c r="I67" s="286"/>
      <c r="J67" s="287">
        <v>8</v>
      </c>
      <c r="K67" s="287">
        <v>7.5</v>
      </c>
      <c r="L67" s="287">
        <v>6</v>
      </c>
      <c r="M67" s="287">
        <v>4</v>
      </c>
      <c r="N67" s="287">
        <v>3</v>
      </c>
      <c r="O67" s="287">
        <v>0</v>
      </c>
      <c r="P67" s="287">
        <v>0</v>
      </c>
      <c r="Q67" s="287">
        <v>0</v>
      </c>
      <c r="R67" s="287">
        <v>0</v>
      </c>
      <c r="S67" s="287">
        <v>5</v>
      </c>
      <c r="T67" s="287">
        <v>5</v>
      </c>
      <c r="U67" s="287">
        <v>6</v>
      </c>
      <c r="V67" s="317"/>
    </row>
    <row r="68" spans="1:22" x14ac:dyDescent="0.3">
      <c r="A68" s="52">
        <v>10</v>
      </c>
      <c r="B68" s="18" t="s">
        <v>79</v>
      </c>
      <c r="C68" s="290" t="s">
        <v>80</v>
      </c>
      <c r="D68" s="273">
        <v>4</v>
      </c>
      <c r="E68" s="273">
        <v>4.5</v>
      </c>
      <c r="F68" s="273">
        <v>5</v>
      </c>
      <c r="G68" s="273">
        <v>4.5</v>
      </c>
      <c r="H68" s="316"/>
      <c r="I68" s="286"/>
      <c r="J68" s="287">
        <v>4.5</v>
      </c>
      <c r="K68" s="287">
        <v>4</v>
      </c>
      <c r="L68" s="287">
        <v>3.5</v>
      </c>
      <c r="M68" s="287">
        <v>2.5</v>
      </c>
      <c r="N68" s="287">
        <v>2</v>
      </c>
      <c r="O68" s="287">
        <v>0</v>
      </c>
      <c r="P68" s="287">
        <v>0</v>
      </c>
      <c r="Q68" s="287">
        <v>0</v>
      </c>
      <c r="R68" s="287">
        <v>0</v>
      </c>
      <c r="S68" s="287">
        <v>2</v>
      </c>
      <c r="T68" s="287">
        <v>3</v>
      </c>
      <c r="U68" s="287">
        <v>3.5</v>
      </c>
      <c r="V68" s="317"/>
    </row>
    <row r="69" spans="1:22" x14ac:dyDescent="0.3">
      <c r="A69" s="52">
        <v>11</v>
      </c>
      <c r="B69" s="18" t="s">
        <v>9</v>
      </c>
      <c r="C69" s="290" t="s">
        <v>10</v>
      </c>
      <c r="D69" s="273">
        <v>6</v>
      </c>
      <c r="E69" s="273">
        <v>6.5</v>
      </c>
      <c r="F69" s="273">
        <v>7</v>
      </c>
      <c r="G69" s="273">
        <v>7.5</v>
      </c>
      <c r="H69" s="316"/>
      <c r="I69" s="286"/>
      <c r="J69" s="287">
        <v>8</v>
      </c>
      <c r="K69" s="287">
        <v>8</v>
      </c>
      <c r="L69" s="287">
        <v>7.5</v>
      </c>
      <c r="M69" s="287">
        <v>7</v>
      </c>
      <c r="N69" s="287">
        <v>6.5</v>
      </c>
      <c r="O69" s="287">
        <v>6</v>
      </c>
      <c r="P69" s="287">
        <v>3.5</v>
      </c>
      <c r="Q69" s="287">
        <v>0</v>
      </c>
      <c r="R69" s="287">
        <v>0</v>
      </c>
      <c r="S69" s="287">
        <v>0</v>
      </c>
      <c r="T69" s="287">
        <v>4</v>
      </c>
      <c r="U69" s="287">
        <v>5</v>
      </c>
      <c r="V69" s="317"/>
    </row>
    <row r="70" spans="1:22" x14ac:dyDescent="0.3">
      <c r="A70" s="52">
        <v>12</v>
      </c>
      <c r="B70" s="18" t="s">
        <v>33</v>
      </c>
      <c r="C70" s="290" t="s">
        <v>34</v>
      </c>
      <c r="D70" s="273">
        <v>6.5</v>
      </c>
      <c r="E70" s="273">
        <v>7</v>
      </c>
      <c r="F70" s="273">
        <v>7.5</v>
      </c>
      <c r="G70" s="273">
        <v>8</v>
      </c>
      <c r="H70" s="316"/>
      <c r="I70" s="286"/>
      <c r="J70" s="287">
        <v>7.5</v>
      </c>
      <c r="K70" s="287">
        <v>7.5</v>
      </c>
      <c r="L70" s="287">
        <v>7</v>
      </c>
      <c r="M70" s="287">
        <v>6</v>
      </c>
      <c r="N70" s="287">
        <v>5</v>
      </c>
      <c r="O70" s="287">
        <v>4.5</v>
      </c>
      <c r="P70" s="287">
        <v>2.5</v>
      </c>
      <c r="Q70" s="287">
        <v>0</v>
      </c>
      <c r="R70" s="287">
        <v>0</v>
      </c>
      <c r="S70" s="287">
        <v>0</v>
      </c>
      <c r="T70" s="287">
        <v>4</v>
      </c>
      <c r="U70" s="287">
        <v>5</v>
      </c>
      <c r="V70" s="317"/>
    </row>
    <row r="71" spans="1:22" x14ac:dyDescent="0.3">
      <c r="A71" s="52">
        <v>13</v>
      </c>
      <c r="B71" s="18" t="s">
        <v>83</v>
      </c>
      <c r="C71" s="290" t="s">
        <v>84</v>
      </c>
      <c r="D71" s="273">
        <v>6</v>
      </c>
      <c r="E71" s="273">
        <v>5.5</v>
      </c>
      <c r="F71" s="273">
        <v>5</v>
      </c>
      <c r="G71" s="273">
        <v>5.5</v>
      </c>
      <c r="H71" s="316"/>
      <c r="I71" s="286"/>
      <c r="J71" s="287">
        <v>6.5</v>
      </c>
      <c r="K71" s="287">
        <v>6.5</v>
      </c>
      <c r="L71" s="287">
        <v>6</v>
      </c>
      <c r="M71" s="287">
        <v>5.5</v>
      </c>
      <c r="N71" s="287">
        <v>5</v>
      </c>
      <c r="O71" s="287">
        <v>4.5</v>
      </c>
      <c r="P71" s="287">
        <v>2.5</v>
      </c>
      <c r="Q71" s="287">
        <v>0</v>
      </c>
      <c r="R71" s="287">
        <v>0</v>
      </c>
      <c r="S71" s="287">
        <v>0</v>
      </c>
      <c r="T71" s="287">
        <v>0</v>
      </c>
      <c r="U71" s="287">
        <v>4</v>
      </c>
      <c r="V71" s="317"/>
    </row>
    <row r="72" spans="1:22" x14ac:dyDescent="0.3">
      <c r="A72" s="52">
        <v>14</v>
      </c>
      <c r="B72" s="18" t="s">
        <v>15</v>
      </c>
      <c r="C72" s="290" t="s">
        <v>16</v>
      </c>
      <c r="D72" s="273">
        <v>5</v>
      </c>
      <c r="E72" s="273">
        <v>5.5</v>
      </c>
      <c r="F72" s="273">
        <v>6.5</v>
      </c>
      <c r="G72" s="273">
        <v>6</v>
      </c>
      <c r="H72" s="316"/>
      <c r="I72" s="286"/>
      <c r="J72" s="287">
        <v>6</v>
      </c>
      <c r="K72" s="287">
        <v>5</v>
      </c>
      <c r="L72" s="287">
        <v>5</v>
      </c>
      <c r="M72" s="287">
        <v>4.5</v>
      </c>
      <c r="N72" s="287">
        <v>3</v>
      </c>
      <c r="O72" s="287">
        <v>2.5</v>
      </c>
      <c r="P72" s="287">
        <v>0</v>
      </c>
      <c r="Q72" s="287">
        <v>0</v>
      </c>
      <c r="R72" s="287">
        <v>0</v>
      </c>
      <c r="S72" s="287">
        <v>0</v>
      </c>
      <c r="T72" s="287">
        <v>3</v>
      </c>
      <c r="U72" s="287">
        <v>3.5</v>
      </c>
      <c r="V72" s="317"/>
    </row>
    <row r="73" spans="1:22" x14ac:dyDescent="0.3">
      <c r="A73" s="52">
        <v>15</v>
      </c>
      <c r="B73" s="18" t="s">
        <v>24</v>
      </c>
      <c r="C73" s="290" t="s">
        <v>25</v>
      </c>
      <c r="D73" s="273">
        <v>6</v>
      </c>
      <c r="E73" s="273">
        <v>6.5</v>
      </c>
      <c r="F73" s="273">
        <v>7</v>
      </c>
      <c r="G73" s="273">
        <v>7.5</v>
      </c>
      <c r="H73" s="316"/>
      <c r="I73" s="286"/>
      <c r="J73" s="287">
        <v>7</v>
      </c>
      <c r="K73" s="287">
        <v>6.5</v>
      </c>
      <c r="L73" s="287">
        <v>6</v>
      </c>
      <c r="M73" s="287">
        <v>5.5</v>
      </c>
      <c r="N73" s="287">
        <v>5</v>
      </c>
      <c r="O73" s="287">
        <v>4.5</v>
      </c>
      <c r="P73" s="287">
        <v>3</v>
      </c>
      <c r="Q73" s="287">
        <v>0</v>
      </c>
      <c r="R73" s="287">
        <v>0</v>
      </c>
      <c r="S73" s="287">
        <v>0</v>
      </c>
      <c r="T73" s="287">
        <v>0</v>
      </c>
      <c r="U73" s="287">
        <v>4</v>
      </c>
      <c r="V73" s="317"/>
    </row>
    <row r="74" spans="1:22" x14ac:dyDescent="0.3">
      <c r="A74" s="52">
        <v>16</v>
      </c>
      <c r="B74" s="18" t="s">
        <v>3</v>
      </c>
      <c r="C74" s="290" t="s">
        <v>4</v>
      </c>
      <c r="D74" s="273">
        <v>5</v>
      </c>
      <c r="E74" s="273">
        <v>5.5</v>
      </c>
      <c r="F74" s="273">
        <v>7</v>
      </c>
      <c r="G74" s="273">
        <v>7.5</v>
      </c>
      <c r="H74" s="316"/>
      <c r="I74" s="286"/>
      <c r="J74" s="287">
        <v>6.5</v>
      </c>
      <c r="K74" s="287">
        <v>6.5</v>
      </c>
      <c r="L74" s="287">
        <v>6</v>
      </c>
      <c r="M74" s="287">
        <v>5.5</v>
      </c>
      <c r="N74" s="287">
        <v>5</v>
      </c>
      <c r="O74" s="287">
        <v>4.5</v>
      </c>
      <c r="P74" s="287">
        <v>2.5</v>
      </c>
      <c r="Q74" s="287">
        <v>0</v>
      </c>
      <c r="R74" s="287">
        <v>0</v>
      </c>
      <c r="S74" s="287">
        <v>0</v>
      </c>
      <c r="T74" s="287">
        <v>0</v>
      </c>
      <c r="U74" s="287">
        <v>4</v>
      </c>
      <c r="V74" s="317"/>
    </row>
    <row r="75" spans="1:22" x14ac:dyDescent="0.3">
      <c r="A75" s="52">
        <v>17</v>
      </c>
      <c r="B75" s="110" t="s">
        <v>176</v>
      </c>
      <c r="C75" s="291"/>
      <c r="D75" s="274">
        <v>7</v>
      </c>
      <c r="E75" s="274">
        <v>7</v>
      </c>
      <c r="F75" s="274">
        <v>7.5</v>
      </c>
      <c r="G75" s="274">
        <v>7.5</v>
      </c>
      <c r="H75" s="316"/>
      <c r="I75" s="286"/>
      <c r="J75" s="318">
        <v>7.5</v>
      </c>
      <c r="K75" s="318">
        <v>7</v>
      </c>
      <c r="L75" s="318">
        <v>6.5</v>
      </c>
      <c r="M75" s="318">
        <v>6</v>
      </c>
      <c r="N75" s="318">
        <v>5.5</v>
      </c>
      <c r="O75" s="318">
        <v>5</v>
      </c>
      <c r="P75" s="318">
        <v>3.5</v>
      </c>
      <c r="Q75" s="318"/>
      <c r="R75" s="318"/>
      <c r="S75" s="318"/>
      <c r="T75" s="318"/>
      <c r="U75" s="318">
        <v>4</v>
      </c>
      <c r="V75" s="317"/>
    </row>
    <row r="76" spans="1:22" x14ac:dyDescent="0.3">
      <c r="A76" s="52">
        <v>18</v>
      </c>
      <c r="B76" s="52" t="s">
        <v>71</v>
      </c>
      <c r="C76" s="156" t="s">
        <v>72</v>
      </c>
      <c r="D76" s="274">
        <v>5.5</v>
      </c>
      <c r="E76" s="274">
        <v>7</v>
      </c>
      <c r="F76" s="274">
        <v>8</v>
      </c>
      <c r="G76" s="274">
        <v>8</v>
      </c>
      <c r="H76" s="316"/>
      <c r="I76" s="286"/>
      <c r="J76" s="318">
        <v>9</v>
      </c>
      <c r="K76" s="318">
        <v>7.5</v>
      </c>
      <c r="L76" s="318">
        <v>7.5</v>
      </c>
      <c r="M76" s="318">
        <v>7</v>
      </c>
      <c r="N76" s="318">
        <v>5.5</v>
      </c>
      <c r="O76" s="318">
        <v>5</v>
      </c>
      <c r="P76" s="318">
        <v>3.5</v>
      </c>
      <c r="Q76" s="318"/>
      <c r="R76" s="318"/>
      <c r="S76" s="318"/>
      <c r="T76" s="318"/>
      <c r="U76" s="318">
        <v>5</v>
      </c>
      <c r="V76" s="317"/>
    </row>
    <row r="77" spans="1:22" x14ac:dyDescent="0.3">
      <c r="A77" s="52">
        <v>19</v>
      </c>
      <c r="B77" s="114" t="s">
        <v>162</v>
      </c>
      <c r="C77" s="293"/>
      <c r="D77" s="274">
        <v>3</v>
      </c>
      <c r="E77" s="274">
        <v>4</v>
      </c>
      <c r="F77" s="274">
        <v>5.5</v>
      </c>
      <c r="G77" s="274">
        <v>6</v>
      </c>
      <c r="H77" s="316"/>
      <c r="I77" s="286"/>
      <c r="J77" s="318">
        <v>6</v>
      </c>
      <c r="K77" s="318">
        <v>6.5</v>
      </c>
      <c r="L77" s="318">
        <v>6</v>
      </c>
      <c r="M77" s="318">
        <v>5.5</v>
      </c>
      <c r="N77" s="318">
        <v>4.5</v>
      </c>
      <c r="O77" s="318">
        <v>4</v>
      </c>
      <c r="P77" s="318">
        <v>2.5</v>
      </c>
      <c r="Q77" s="318"/>
      <c r="R77" s="318"/>
      <c r="S77" s="318"/>
      <c r="T77" s="318"/>
      <c r="U77" s="318">
        <v>5</v>
      </c>
      <c r="V77" s="317"/>
    </row>
    <row r="78" spans="1:22" ht="15" thickBot="1" x14ac:dyDescent="0.35">
      <c r="A78" s="52">
        <v>20</v>
      </c>
      <c r="B78" s="109" t="s">
        <v>35</v>
      </c>
      <c r="C78" s="294" t="s">
        <v>178</v>
      </c>
      <c r="D78" s="275">
        <v>4</v>
      </c>
      <c r="E78" s="275">
        <v>5</v>
      </c>
      <c r="F78" s="275">
        <v>6</v>
      </c>
      <c r="G78" s="275">
        <v>7</v>
      </c>
      <c r="H78" s="316"/>
      <c r="I78" s="286"/>
      <c r="J78" s="319">
        <v>7</v>
      </c>
      <c r="K78" s="319">
        <v>6</v>
      </c>
      <c r="L78" s="319">
        <v>6</v>
      </c>
      <c r="M78" s="319">
        <v>5</v>
      </c>
      <c r="N78" s="319">
        <v>3</v>
      </c>
      <c r="O78" s="319">
        <v>2</v>
      </c>
      <c r="P78" s="319"/>
      <c r="Q78" s="319">
        <v>0</v>
      </c>
      <c r="R78" s="319">
        <v>0</v>
      </c>
      <c r="S78" s="319">
        <v>0</v>
      </c>
      <c r="T78" s="319">
        <v>3.5</v>
      </c>
      <c r="U78" s="319">
        <v>4</v>
      </c>
      <c r="V78" s="317"/>
    </row>
    <row r="79" spans="1:22" x14ac:dyDescent="0.3">
      <c r="A79" s="52">
        <v>21</v>
      </c>
      <c r="B79" s="18" t="s">
        <v>11</v>
      </c>
      <c r="C79" s="290" t="s">
        <v>12</v>
      </c>
      <c r="D79" s="276">
        <v>0</v>
      </c>
      <c r="E79" s="276">
        <v>0</v>
      </c>
      <c r="F79" s="276">
        <v>4.5</v>
      </c>
      <c r="G79" s="276">
        <v>5.5</v>
      </c>
      <c r="H79" s="316"/>
      <c r="I79" s="286"/>
      <c r="J79" s="320">
        <v>6.5</v>
      </c>
      <c r="K79" s="320">
        <v>6.5</v>
      </c>
      <c r="L79" s="320">
        <v>6</v>
      </c>
      <c r="M79" s="320">
        <v>6</v>
      </c>
      <c r="N79" s="320">
        <v>5.5</v>
      </c>
      <c r="O79" s="320">
        <v>4.5</v>
      </c>
      <c r="P79" s="320">
        <v>3.5</v>
      </c>
      <c r="Q79" s="320">
        <v>0</v>
      </c>
      <c r="R79" s="320">
        <v>0</v>
      </c>
      <c r="S79" s="320">
        <v>0</v>
      </c>
      <c r="T79" s="320">
        <v>0</v>
      </c>
      <c r="U79" s="320">
        <v>0</v>
      </c>
      <c r="V79" s="317"/>
    </row>
    <row r="80" spans="1:22" x14ac:dyDescent="0.3">
      <c r="A80" s="52">
        <v>22</v>
      </c>
      <c r="B80" s="21" t="s">
        <v>31</v>
      </c>
      <c r="C80" s="289" t="s">
        <v>32</v>
      </c>
      <c r="D80" s="273">
        <v>0</v>
      </c>
      <c r="E80" s="273">
        <v>0</v>
      </c>
      <c r="F80" s="273">
        <v>4</v>
      </c>
      <c r="G80" s="273">
        <v>5</v>
      </c>
      <c r="H80" s="316"/>
      <c r="I80" s="286"/>
      <c r="J80" s="287">
        <v>5.5</v>
      </c>
      <c r="K80" s="287">
        <v>6</v>
      </c>
      <c r="L80" s="287">
        <v>6.5</v>
      </c>
      <c r="M80" s="287">
        <v>6</v>
      </c>
      <c r="N80" s="287">
        <v>5.5</v>
      </c>
      <c r="O80" s="287">
        <v>4.5</v>
      </c>
      <c r="P80" s="287">
        <v>3</v>
      </c>
      <c r="Q80" s="287">
        <v>2.5</v>
      </c>
      <c r="R80" s="287">
        <v>0</v>
      </c>
      <c r="S80" s="287">
        <v>0</v>
      </c>
      <c r="T80" s="287">
        <v>0</v>
      </c>
      <c r="U80" s="287">
        <v>0</v>
      </c>
      <c r="V80" s="317"/>
    </row>
    <row r="81" spans="1:22" x14ac:dyDescent="0.3">
      <c r="A81" s="52">
        <v>23</v>
      </c>
      <c r="B81" s="21" t="s">
        <v>43</v>
      </c>
      <c r="C81" s="289" t="s">
        <v>44</v>
      </c>
      <c r="D81" s="273">
        <v>0</v>
      </c>
      <c r="E81" s="273">
        <v>0</v>
      </c>
      <c r="F81" s="273">
        <v>4</v>
      </c>
      <c r="G81" s="273">
        <v>5</v>
      </c>
      <c r="H81" s="316"/>
      <c r="I81" s="286"/>
      <c r="J81" s="287">
        <v>5.5</v>
      </c>
      <c r="K81" s="287">
        <v>6</v>
      </c>
      <c r="L81" s="287">
        <v>6.5</v>
      </c>
      <c r="M81" s="287">
        <v>6</v>
      </c>
      <c r="N81" s="287">
        <v>5.5</v>
      </c>
      <c r="O81" s="287">
        <v>5</v>
      </c>
      <c r="P81" s="287">
        <v>4.5</v>
      </c>
      <c r="Q81" s="287">
        <v>3</v>
      </c>
      <c r="R81" s="287">
        <v>0</v>
      </c>
      <c r="S81" s="287">
        <v>0</v>
      </c>
      <c r="T81" s="287">
        <v>0</v>
      </c>
      <c r="U81" s="287">
        <v>0</v>
      </c>
      <c r="V81" s="317"/>
    </row>
    <row r="82" spans="1:22" x14ac:dyDescent="0.3">
      <c r="A82" s="52">
        <v>24</v>
      </c>
      <c r="B82" s="18" t="s">
        <v>67</v>
      </c>
      <c r="C82" s="290" t="s">
        <v>68</v>
      </c>
      <c r="D82" s="273">
        <v>0</v>
      </c>
      <c r="E82" s="273">
        <v>0</v>
      </c>
      <c r="F82" s="273">
        <v>4</v>
      </c>
      <c r="G82" s="273">
        <v>4.5</v>
      </c>
      <c r="H82" s="316"/>
      <c r="I82" s="286"/>
      <c r="J82" s="287">
        <v>5</v>
      </c>
      <c r="K82" s="287">
        <v>6</v>
      </c>
      <c r="L82" s="287">
        <v>6.5</v>
      </c>
      <c r="M82" s="287">
        <v>6</v>
      </c>
      <c r="N82" s="287">
        <v>5</v>
      </c>
      <c r="O82" s="287">
        <v>4.5</v>
      </c>
      <c r="P82" s="287">
        <v>3</v>
      </c>
      <c r="Q82" s="287">
        <v>2</v>
      </c>
      <c r="R82" s="287">
        <v>0</v>
      </c>
      <c r="S82" s="287">
        <v>0</v>
      </c>
      <c r="T82" s="287">
        <v>0</v>
      </c>
      <c r="U82" s="287">
        <v>0</v>
      </c>
      <c r="V82" s="317"/>
    </row>
    <row r="83" spans="1:22" x14ac:dyDescent="0.3">
      <c r="A83" s="52">
        <v>25</v>
      </c>
      <c r="B83" s="18" t="s">
        <v>49</v>
      </c>
      <c r="C83" s="289" t="s">
        <v>50</v>
      </c>
      <c r="D83" s="273">
        <v>0</v>
      </c>
      <c r="E83" s="273">
        <v>0</v>
      </c>
      <c r="F83" s="273">
        <v>4</v>
      </c>
      <c r="G83" s="273">
        <v>5</v>
      </c>
      <c r="H83" s="316"/>
      <c r="I83" s="286"/>
      <c r="J83" s="287">
        <v>5.5</v>
      </c>
      <c r="K83" s="287">
        <v>6</v>
      </c>
      <c r="L83" s="287">
        <v>6</v>
      </c>
      <c r="M83" s="287">
        <v>5</v>
      </c>
      <c r="N83" s="287">
        <v>4</v>
      </c>
      <c r="O83" s="287">
        <v>3</v>
      </c>
      <c r="P83" s="287">
        <v>2.5</v>
      </c>
      <c r="Q83" s="287">
        <v>1.5</v>
      </c>
      <c r="R83" s="287">
        <v>0</v>
      </c>
      <c r="S83" s="287">
        <v>0</v>
      </c>
      <c r="T83" s="287">
        <v>0</v>
      </c>
      <c r="U83" s="287">
        <v>0</v>
      </c>
      <c r="V83" s="317"/>
    </row>
    <row r="84" spans="1:22" x14ac:dyDescent="0.3">
      <c r="A84" s="52">
        <v>26</v>
      </c>
      <c r="B84" s="18" t="s">
        <v>45</v>
      </c>
      <c r="C84" s="290" t="s">
        <v>46</v>
      </c>
      <c r="D84" s="273">
        <v>0</v>
      </c>
      <c r="E84" s="273">
        <v>0</v>
      </c>
      <c r="F84" s="273">
        <v>5</v>
      </c>
      <c r="G84" s="273">
        <v>6</v>
      </c>
      <c r="H84" s="316"/>
      <c r="I84" s="286"/>
      <c r="J84" s="287">
        <v>7</v>
      </c>
      <c r="K84" s="287">
        <v>7.5</v>
      </c>
      <c r="L84" s="287">
        <v>8</v>
      </c>
      <c r="M84" s="287">
        <v>6.5</v>
      </c>
      <c r="N84" s="287">
        <v>6</v>
      </c>
      <c r="O84" s="287">
        <v>5.5</v>
      </c>
      <c r="P84" s="287">
        <v>5</v>
      </c>
      <c r="Q84" s="287">
        <v>3</v>
      </c>
      <c r="R84" s="287">
        <v>0</v>
      </c>
      <c r="S84" s="287">
        <v>0</v>
      </c>
      <c r="T84" s="287">
        <v>0</v>
      </c>
      <c r="U84" s="287">
        <v>0</v>
      </c>
      <c r="V84" s="317"/>
    </row>
    <row r="85" spans="1:22" x14ac:dyDescent="0.3">
      <c r="A85" s="52">
        <v>27</v>
      </c>
      <c r="B85" s="18" t="s">
        <v>37</v>
      </c>
      <c r="C85" s="290" t="s">
        <v>38</v>
      </c>
      <c r="D85" s="273">
        <v>0</v>
      </c>
      <c r="E85" s="273">
        <v>0</v>
      </c>
      <c r="F85" s="273">
        <v>4.5</v>
      </c>
      <c r="G85" s="273">
        <v>5</v>
      </c>
      <c r="H85" s="316"/>
      <c r="I85" s="286"/>
      <c r="J85" s="287">
        <v>6</v>
      </c>
      <c r="K85" s="287">
        <v>6.5</v>
      </c>
      <c r="L85" s="287">
        <v>7</v>
      </c>
      <c r="M85" s="287">
        <v>6</v>
      </c>
      <c r="N85" s="287">
        <v>5</v>
      </c>
      <c r="O85" s="287">
        <v>3.5</v>
      </c>
      <c r="P85" s="287">
        <v>3</v>
      </c>
      <c r="Q85" s="287">
        <v>2</v>
      </c>
      <c r="R85" s="287">
        <v>0</v>
      </c>
      <c r="S85" s="287">
        <v>0</v>
      </c>
      <c r="T85" s="287">
        <v>0</v>
      </c>
      <c r="U85" s="287">
        <v>0</v>
      </c>
      <c r="V85" s="317"/>
    </row>
    <row r="86" spans="1:22" x14ac:dyDescent="0.3">
      <c r="A86" s="52">
        <v>28</v>
      </c>
      <c r="B86" s="18" t="s">
        <v>39</v>
      </c>
      <c r="C86" s="290" t="s">
        <v>115</v>
      </c>
      <c r="D86" s="273">
        <v>0</v>
      </c>
      <c r="E86" s="273">
        <v>0</v>
      </c>
      <c r="F86" s="273">
        <v>4</v>
      </c>
      <c r="G86" s="273">
        <v>4.5</v>
      </c>
      <c r="H86" s="316"/>
      <c r="I86" s="286"/>
      <c r="J86" s="287">
        <v>5</v>
      </c>
      <c r="K86" s="287">
        <v>6</v>
      </c>
      <c r="L86" s="287">
        <v>6.5</v>
      </c>
      <c r="M86" s="287">
        <v>6</v>
      </c>
      <c r="N86" s="287">
        <v>5</v>
      </c>
      <c r="O86" s="287">
        <v>4</v>
      </c>
      <c r="P86" s="287">
        <v>2.5</v>
      </c>
      <c r="Q86" s="287">
        <v>2</v>
      </c>
      <c r="R86" s="287">
        <v>0</v>
      </c>
      <c r="S86" s="287">
        <v>0</v>
      </c>
      <c r="T86" s="287">
        <v>0</v>
      </c>
      <c r="U86" s="287">
        <v>0</v>
      </c>
      <c r="V86" s="317"/>
    </row>
    <row r="87" spans="1:22" x14ac:dyDescent="0.3">
      <c r="A87" s="52">
        <v>29</v>
      </c>
      <c r="B87" s="18" t="s">
        <v>21</v>
      </c>
      <c r="C87" s="290" t="s">
        <v>22</v>
      </c>
      <c r="D87" s="273">
        <v>0</v>
      </c>
      <c r="E87" s="273">
        <v>0</v>
      </c>
      <c r="F87" s="273">
        <v>5</v>
      </c>
      <c r="G87" s="273">
        <v>6</v>
      </c>
      <c r="H87" s="316"/>
      <c r="I87" s="286"/>
      <c r="J87" s="287">
        <v>6.5</v>
      </c>
      <c r="K87" s="287">
        <v>7</v>
      </c>
      <c r="L87" s="287">
        <v>8</v>
      </c>
      <c r="M87" s="287">
        <v>7</v>
      </c>
      <c r="N87" s="287">
        <v>7</v>
      </c>
      <c r="O87" s="287">
        <v>6</v>
      </c>
      <c r="P87" s="287">
        <v>5</v>
      </c>
      <c r="Q87" s="287">
        <v>2.5</v>
      </c>
      <c r="R87" s="287">
        <v>0</v>
      </c>
      <c r="S87" s="287">
        <v>0</v>
      </c>
      <c r="T87" s="287">
        <v>0</v>
      </c>
      <c r="U87" s="287">
        <v>0</v>
      </c>
      <c r="V87" s="317"/>
    </row>
    <row r="88" spans="1:22" x14ac:dyDescent="0.3">
      <c r="A88" s="52">
        <v>30</v>
      </c>
      <c r="B88" s="18" t="s">
        <v>47</v>
      </c>
      <c r="C88" s="290" t="s">
        <v>48</v>
      </c>
      <c r="D88" s="273">
        <v>0</v>
      </c>
      <c r="E88" s="273">
        <v>0</v>
      </c>
      <c r="F88" s="273">
        <v>5</v>
      </c>
      <c r="G88" s="273">
        <v>6</v>
      </c>
      <c r="H88" s="316"/>
      <c r="I88" s="286"/>
      <c r="J88" s="287">
        <v>6.5</v>
      </c>
      <c r="K88" s="287">
        <v>7</v>
      </c>
      <c r="L88" s="287">
        <v>6.5</v>
      </c>
      <c r="M88" s="287">
        <v>6</v>
      </c>
      <c r="N88" s="287">
        <v>5</v>
      </c>
      <c r="O88" s="287">
        <v>4</v>
      </c>
      <c r="P88" s="287">
        <v>3</v>
      </c>
      <c r="Q88" s="287">
        <v>2</v>
      </c>
      <c r="R88" s="287">
        <v>0</v>
      </c>
      <c r="S88" s="287">
        <v>0</v>
      </c>
      <c r="T88" s="287">
        <v>0</v>
      </c>
      <c r="U88" s="287">
        <v>0</v>
      </c>
      <c r="V88" s="317"/>
    </row>
    <row r="89" spans="1:22" x14ac:dyDescent="0.3">
      <c r="A89" s="52">
        <v>31</v>
      </c>
      <c r="B89" s="110" t="s">
        <v>41</v>
      </c>
      <c r="C89" s="296" t="s">
        <v>42</v>
      </c>
      <c r="D89" s="273">
        <v>0</v>
      </c>
      <c r="E89" s="273">
        <v>0</v>
      </c>
      <c r="F89" s="273">
        <v>5</v>
      </c>
      <c r="G89" s="273">
        <v>6</v>
      </c>
      <c r="H89" s="316"/>
      <c r="I89" s="286"/>
      <c r="J89" s="287">
        <v>6.5</v>
      </c>
      <c r="K89" s="287">
        <v>7</v>
      </c>
      <c r="L89" s="287">
        <v>7.5</v>
      </c>
      <c r="M89" s="287">
        <v>7</v>
      </c>
      <c r="N89" s="287">
        <v>6</v>
      </c>
      <c r="O89" s="287">
        <v>5.5</v>
      </c>
      <c r="P89" s="287">
        <v>5</v>
      </c>
      <c r="Q89" s="287">
        <v>2.5</v>
      </c>
      <c r="R89" s="287">
        <v>0</v>
      </c>
      <c r="S89" s="287">
        <v>0</v>
      </c>
      <c r="T89" s="287">
        <v>0</v>
      </c>
      <c r="U89" s="287">
        <v>0</v>
      </c>
      <c r="V89" s="317"/>
    </row>
    <row r="90" spans="1:22" x14ac:dyDescent="0.3">
      <c r="A90" s="52">
        <v>32</v>
      </c>
      <c r="B90" s="18" t="s">
        <v>55</v>
      </c>
      <c r="C90" s="290" t="s">
        <v>56</v>
      </c>
      <c r="D90" s="273">
        <v>0</v>
      </c>
      <c r="E90" s="273">
        <v>0</v>
      </c>
      <c r="F90" s="273">
        <v>5</v>
      </c>
      <c r="G90" s="273">
        <v>6</v>
      </c>
      <c r="H90" s="316"/>
      <c r="I90" s="286"/>
      <c r="J90" s="287">
        <v>7</v>
      </c>
      <c r="K90" s="287">
        <v>7.5</v>
      </c>
      <c r="L90" s="287">
        <v>7</v>
      </c>
      <c r="M90" s="287">
        <v>6.5</v>
      </c>
      <c r="N90" s="287">
        <v>5</v>
      </c>
      <c r="O90" s="287">
        <v>4.5</v>
      </c>
      <c r="P90" s="287">
        <v>3.5</v>
      </c>
      <c r="Q90" s="287">
        <v>2</v>
      </c>
      <c r="R90" s="287">
        <v>0</v>
      </c>
      <c r="S90" s="287">
        <v>0</v>
      </c>
      <c r="T90" s="287">
        <v>0</v>
      </c>
      <c r="U90" s="287">
        <v>0</v>
      </c>
      <c r="V90" s="317"/>
    </row>
    <row r="91" spans="1:22" ht="15" thickBot="1" x14ac:dyDescent="0.35">
      <c r="A91" s="52">
        <v>33</v>
      </c>
      <c r="B91" s="111" t="s">
        <v>29</v>
      </c>
      <c r="C91" s="297" t="s">
        <v>30</v>
      </c>
      <c r="D91" s="275">
        <v>0</v>
      </c>
      <c r="E91" s="275">
        <v>0</v>
      </c>
      <c r="F91" s="275">
        <v>5</v>
      </c>
      <c r="G91" s="275">
        <v>4</v>
      </c>
      <c r="H91" s="316"/>
      <c r="I91" s="286"/>
      <c r="J91" s="319">
        <v>4.5</v>
      </c>
      <c r="K91" s="319">
        <v>5</v>
      </c>
      <c r="L91" s="319">
        <v>6</v>
      </c>
      <c r="M91" s="319">
        <v>6.5</v>
      </c>
      <c r="N91" s="319">
        <v>6</v>
      </c>
      <c r="O91" s="319">
        <v>4.5</v>
      </c>
      <c r="P91" s="319">
        <v>3.5</v>
      </c>
      <c r="Q91" s="319">
        <v>2.5</v>
      </c>
      <c r="R91" s="319">
        <v>0</v>
      </c>
      <c r="S91" s="319">
        <v>0</v>
      </c>
      <c r="T91" s="319">
        <v>0</v>
      </c>
      <c r="U91" s="319">
        <v>0</v>
      </c>
      <c r="V91" s="317"/>
    </row>
    <row r="92" spans="1:22" x14ac:dyDescent="0.3">
      <c r="A92" s="52">
        <v>34</v>
      </c>
      <c r="B92" s="18" t="s">
        <v>23</v>
      </c>
      <c r="C92" s="290" t="s">
        <v>26</v>
      </c>
      <c r="D92" s="276">
        <v>0</v>
      </c>
      <c r="E92" s="276">
        <v>0</v>
      </c>
      <c r="F92" s="276">
        <v>0</v>
      </c>
      <c r="G92" s="276">
        <v>4</v>
      </c>
      <c r="H92" s="316"/>
      <c r="I92" s="286"/>
      <c r="J92" s="320">
        <v>5</v>
      </c>
      <c r="K92" s="320">
        <v>5.5</v>
      </c>
      <c r="L92" s="320">
        <v>6</v>
      </c>
      <c r="M92" s="320">
        <v>7</v>
      </c>
      <c r="N92" s="320">
        <v>6</v>
      </c>
      <c r="O92" s="320">
        <v>5.5</v>
      </c>
      <c r="P92" s="320">
        <v>5</v>
      </c>
      <c r="Q92" s="320">
        <v>3</v>
      </c>
      <c r="R92" s="320">
        <v>0</v>
      </c>
      <c r="S92" s="320">
        <v>0</v>
      </c>
      <c r="T92" s="320">
        <v>0</v>
      </c>
      <c r="U92" s="320">
        <v>0</v>
      </c>
      <c r="V92" s="317"/>
    </row>
    <row r="93" spans="1:22" x14ac:dyDescent="0.3">
      <c r="A93" s="52">
        <v>35</v>
      </c>
      <c r="B93" s="18" t="s">
        <v>63</v>
      </c>
      <c r="C93" s="290" t="s">
        <v>64</v>
      </c>
      <c r="D93" s="273">
        <v>0</v>
      </c>
      <c r="E93" s="273">
        <v>0</v>
      </c>
      <c r="F93" s="273">
        <v>0</v>
      </c>
      <c r="G93" s="273">
        <v>4</v>
      </c>
      <c r="H93" s="316"/>
      <c r="I93" s="286"/>
      <c r="J93" s="287">
        <v>4.5</v>
      </c>
      <c r="K93" s="287">
        <v>5</v>
      </c>
      <c r="L93" s="287">
        <v>6</v>
      </c>
      <c r="M93" s="287">
        <v>6.5</v>
      </c>
      <c r="N93" s="287">
        <v>7</v>
      </c>
      <c r="O93" s="287">
        <v>5</v>
      </c>
      <c r="P93" s="287">
        <v>4</v>
      </c>
      <c r="Q93" s="287">
        <v>3</v>
      </c>
      <c r="R93" s="287">
        <v>2</v>
      </c>
      <c r="S93" s="287">
        <v>0</v>
      </c>
      <c r="T93" s="287">
        <v>0</v>
      </c>
      <c r="U93" s="287">
        <v>0</v>
      </c>
      <c r="V93" s="317"/>
    </row>
    <row r="94" spans="1:22" ht="15" thickBot="1" x14ac:dyDescent="0.35">
      <c r="A94" s="52">
        <v>36</v>
      </c>
      <c r="B94" s="20" t="s">
        <v>27</v>
      </c>
      <c r="C94" s="321" t="s">
        <v>28</v>
      </c>
      <c r="D94" s="275">
        <v>0</v>
      </c>
      <c r="E94" s="275">
        <v>0</v>
      </c>
      <c r="F94" s="275">
        <v>0</v>
      </c>
      <c r="G94" s="275">
        <v>5</v>
      </c>
      <c r="H94" s="316"/>
      <c r="I94" s="286"/>
      <c r="J94" s="319">
        <v>6</v>
      </c>
      <c r="K94" s="319">
        <v>6.5</v>
      </c>
      <c r="L94" s="319">
        <v>7</v>
      </c>
      <c r="M94" s="319">
        <v>6.5</v>
      </c>
      <c r="N94" s="319">
        <v>6</v>
      </c>
      <c r="O94" s="319">
        <v>5</v>
      </c>
      <c r="P94" s="319">
        <v>4</v>
      </c>
      <c r="Q94" s="319">
        <v>3</v>
      </c>
      <c r="R94" s="319">
        <v>2</v>
      </c>
      <c r="S94" s="319">
        <v>0</v>
      </c>
      <c r="T94" s="319">
        <v>0</v>
      </c>
      <c r="U94" s="319">
        <v>0</v>
      </c>
      <c r="V94" s="317"/>
    </row>
    <row r="95" spans="1:22" ht="15" thickBot="1" x14ac:dyDescent="0.35">
      <c r="A95" s="52">
        <v>37</v>
      </c>
      <c r="B95" s="112" t="s">
        <v>59</v>
      </c>
      <c r="C95" s="322" t="s">
        <v>60</v>
      </c>
      <c r="D95" s="277">
        <v>0</v>
      </c>
      <c r="E95" s="277">
        <v>0</v>
      </c>
      <c r="F95" s="277">
        <v>0</v>
      </c>
      <c r="G95" s="277">
        <v>0</v>
      </c>
      <c r="H95" s="316"/>
      <c r="I95" s="286"/>
      <c r="J95" s="323">
        <v>5</v>
      </c>
      <c r="K95" s="323">
        <v>6</v>
      </c>
      <c r="L95" s="323">
        <v>6.5</v>
      </c>
      <c r="M95" s="323">
        <v>7</v>
      </c>
      <c r="N95" s="323">
        <v>6.5</v>
      </c>
      <c r="O95" s="323">
        <v>6</v>
      </c>
      <c r="P95" s="323">
        <v>5.5</v>
      </c>
      <c r="Q95" s="323">
        <v>5</v>
      </c>
      <c r="R95" s="323">
        <v>4</v>
      </c>
      <c r="S95" s="323">
        <v>2</v>
      </c>
      <c r="T95" s="323"/>
      <c r="U95" s="323">
        <v>0</v>
      </c>
      <c r="V95" s="317"/>
    </row>
    <row r="96" spans="1:22" x14ac:dyDescent="0.3">
      <c r="A96" s="52">
        <v>38</v>
      </c>
      <c r="B96" s="115" t="s">
        <v>75</v>
      </c>
      <c r="C96" s="301" t="s">
        <v>76</v>
      </c>
      <c r="D96" s="276">
        <v>0</v>
      </c>
      <c r="E96" s="276">
        <v>0</v>
      </c>
      <c r="F96" s="276">
        <v>0</v>
      </c>
      <c r="G96" s="276">
        <v>0</v>
      </c>
      <c r="H96" s="324"/>
      <c r="I96" s="325"/>
      <c r="J96" s="326">
        <v>0</v>
      </c>
      <c r="K96" s="326">
        <v>5</v>
      </c>
      <c r="L96" s="326">
        <v>6</v>
      </c>
      <c r="M96" s="326">
        <v>5</v>
      </c>
      <c r="N96" s="326">
        <v>5</v>
      </c>
      <c r="O96" s="326">
        <v>4</v>
      </c>
      <c r="P96" s="326">
        <v>3.5</v>
      </c>
      <c r="Q96" s="326">
        <v>3</v>
      </c>
      <c r="R96" s="326">
        <v>2.5</v>
      </c>
      <c r="S96" s="326">
        <v>2</v>
      </c>
      <c r="T96" s="326">
        <v>2</v>
      </c>
      <c r="U96" s="326"/>
      <c r="V96" s="317"/>
    </row>
    <row r="97" spans="1:22" x14ac:dyDescent="0.3">
      <c r="A97" s="52">
        <v>39</v>
      </c>
      <c r="B97" s="117" t="s">
        <v>179</v>
      </c>
      <c r="C97" s="302"/>
      <c r="D97" s="278"/>
      <c r="E97" s="278"/>
      <c r="F97" s="278"/>
      <c r="G97" s="278"/>
      <c r="H97" s="316"/>
      <c r="I97" s="286"/>
      <c r="J97" s="327"/>
      <c r="K97" s="327">
        <v>4</v>
      </c>
      <c r="L97" s="327">
        <v>4.5</v>
      </c>
      <c r="M97" s="327">
        <v>6</v>
      </c>
      <c r="N97" s="327">
        <v>7</v>
      </c>
      <c r="O97" s="327">
        <v>7</v>
      </c>
      <c r="P97" s="327">
        <v>7.5</v>
      </c>
      <c r="Q97" s="327">
        <v>6</v>
      </c>
      <c r="R97" s="327">
        <v>5.5</v>
      </c>
      <c r="S97" s="327">
        <v>4</v>
      </c>
      <c r="T97" s="327">
        <v>2</v>
      </c>
      <c r="U97" s="327"/>
      <c r="V97" s="317"/>
    </row>
    <row r="98" spans="1:22" ht="15" thickBot="1" x14ac:dyDescent="0.35">
      <c r="A98" s="52">
        <v>40</v>
      </c>
      <c r="B98" s="116" t="s">
        <v>164</v>
      </c>
      <c r="C98" s="328"/>
      <c r="D98" s="275">
        <v>0</v>
      </c>
      <c r="E98" s="275">
        <v>0</v>
      </c>
      <c r="F98" s="275">
        <v>0</v>
      </c>
      <c r="G98" s="275">
        <v>0</v>
      </c>
      <c r="H98" s="329"/>
      <c r="I98" s="330"/>
      <c r="J98" s="331">
        <v>0</v>
      </c>
      <c r="K98" s="331">
        <v>4</v>
      </c>
      <c r="L98" s="331">
        <v>5</v>
      </c>
      <c r="M98" s="331">
        <v>5.5</v>
      </c>
      <c r="N98" s="331">
        <v>6</v>
      </c>
      <c r="O98" s="331">
        <v>6.5</v>
      </c>
      <c r="P98" s="331">
        <v>7</v>
      </c>
      <c r="Q98" s="331">
        <v>6.5</v>
      </c>
      <c r="R98" s="331">
        <v>5</v>
      </c>
      <c r="S98" s="331">
        <v>3</v>
      </c>
      <c r="T98" s="331">
        <v>2</v>
      </c>
      <c r="U98" s="331">
        <v>0</v>
      </c>
      <c r="V98" s="317"/>
    </row>
    <row r="99" spans="1:22" x14ac:dyDescent="0.3">
      <c r="A99" s="52">
        <v>41</v>
      </c>
      <c r="B99" s="18" t="s">
        <v>57</v>
      </c>
      <c r="C99" s="290" t="s">
        <v>58</v>
      </c>
      <c r="D99" s="276">
        <v>0</v>
      </c>
      <c r="E99" s="276">
        <v>0</v>
      </c>
      <c r="F99" s="276">
        <v>0</v>
      </c>
      <c r="G99" s="276">
        <v>0</v>
      </c>
      <c r="H99" s="316"/>
      <c r="I99" s="286"/>
      <c r="J99" s="320">
        <v>0</v>
      </c>
      <c r="K99" s="320">
        <v>0</v>
      </c>
      <c r="L99" s="320">
        <v>6</v>
      </c>
      <c r="M99" s="320">
        <v>6.5</v>
      </c>
      <c r="N99" s="320">
        <v>7</v>
      </c>
      <c r="O99" s="320">
        <v>7.5</v>
      </c>
      <c r="P99" s="320">
        <v>8</v>
      </c>
      <c r="Q99" s="320">
        <v>6</v>
      </c>
      <c r="R99" s="320">
        <v>6</v>
      </c>
      <c r="S99" s="320">
        <v>5.5</v>
      </c>
      <c r="T99" s="320">
        <v>5</v>
      </c>
      <c r="U99" s="320">
        <v>4</v>
      </c>
      <c r="V99" s="317"/>
    </row>
    <row r="100" spans="1:22" x14ac:dyDescent="0.3">
      <c r="A100" s="52">
        <v>42</v>
      </c>
      <c r="B100" s="52" t="s">
        <v>138</v>
      </c>
      <c r="C100" s="156"/>
      <c r="D100" s="273">
        <v>0</v>
      </c>
      <c r="E100" s="273">
        <v>0</v>
      </c>
      <c r="F100" s="273">
        <v>0</v>
      </c>
      <c r="G100" s="273">
        <v>0</v>
      </c>
      <c r="H100" s="316"/>
      <c r="I100" s="286"/>
      <c r="J100" s="287">
        <v>0</v>
      </c>
      <c r="K100" s="287">
        <v>0</v>
      </c>
      <c r="L100" s="287">
        <v>5</v>
      </c>
      <c r="M100" s="287">
        <v>6</v>
      </c>
      <c r="N100" s="287">
        <v>7</v>
      </c>
      <c r="O100" s="287">
        <v>6.5</v>
      </c>
      <c r="P100" s="287">
        <v>6</v>
      </c>
      <c r="Q100" s="287">
        <v>5</v>
      </c>
      <c r="R100" s="287">
        <v>4.5</v>
      </c>
      <c r="S100" s="287">
        <v>4</v>
      </c>
      <c r="T100" s="287">
        <v>3.5</v>
      </c>
      <c r="U100" s="287">
        <v>3</v>
      </c>
      <c r="V100" s="317"/>
    </row>
    <row r="101" spans="1:22" x14ac:dyDescent="0.3">
      <c r="A101" s="52">
        <v>43</v>
      </c>
      <c r="B101" s="52" t="s">
        <v>51</v>
      </c>
      <c r="C101" s="156" t="s">
        <v>107</v>
      </c>
      <c r="D101" s="273">
        <v>0</v>
      </c>
      <c r="E101" s="273">
        <v>0</v>
      </c>
      <c r="F101" s="273">
        <v>0</v>
      </c>
      <c r="G101" s="273">
        <v>0</v>
      </c>
      <c r="H101" s="316"/>
      <c r="I101" s="286"/>
      <c r="J101" s="287">
        <v>0</v>
      </c>
      <c r="K101" s="287">
        <v>0</v>
      </c>
      <c r="L101" s="287">
        <v>0</v>
      </c>
      <c r="M101" s="287">
        <v>4</v>
      </c>
      <c r="N101" s="287">
        <v>4</v>
      </c>
      <c r="O101" s="287">
        <v>5</v>
      </c>
      <c r="P101" s="287">
        <v>6</v>
      </c>
      <c r="Q101" s="287">
        <v>6.5</v>
      </c>
      <c r="R101" s="287">
        <v>6.5</v>
      </c>
      <c r="S101" s="287">
        <v>5</v>
      </c>
      <c r="T101" s="287">
        <v>4</v>
      </c>
      <c r="U101" s="287">
        <v>3</v>
      </c>
      <c r="V101" s="317"/>
    </row>
    <row r="102" spans="1:22" x14ac:dyDescent="0.3">
      <c r="A102" s="52">
        <v>44</v>
      </c>
      <c r="B102" s="52" t="s">
        <v>133</v>
      </c>
      <c r="C102" s="156"/>
      <c r="D102" s="273">
        <v>0</v>
      </c>
      <c r="E102" s="273">
        <v>0</v>
      </c>
      <c r="F102" s="273">
        <v>0</v>
      </c>
      <c r="G102" s="273">
        <v>0</v>
      </c>
      <c r="H102" s="316"/>
      <c r="I102" s="286"/>
      <c r="J102" s="287">
        <v>0</v>
      </c>
      <c r="K102" s="287">
        <v>0</v>
      </c>
      <c r="L102" s="287">
        <v>0</v>
      </c>
      <c r="M102" s="287">
        <v>0</v>
      </c>
      <c r="N102" s="287">
        <v>3</v>
      </c>
      <c r="O102" s="287">
        <v>3.5</v>
      </c>
      <c r="P102" s="287">
        <v>4.5</v>
      </c>
      <c r="Q102" s="287">
        <v>6</v>
      </c>
      <c r="R102" s="287">
        <v>6.5</v>
      </c>
      <c r="S102" s="287">
        <v>6.5</v>
      </c>
      <c r="T102" s="287">
        <v>6</v>
      </c>
      <c r="U102" s="287">
        <v>5</v>
      </c>
      <c r="V102" s="317"/>
    </row>
    <row r="103" spans="1:22" x14ac:dyDescent="0.3">
      <c r="A103" s="52">
        <v>45</v>
      </c>
      <c r="B103" s="52" t="s">
        <v>180</v>
      </c>
      <c r="C103" s="156"/>
      <c r="D103" s="273">
        <v>0</v>
      </c>
      <c r="E103" s="273">
        <v>0</v>
      </c>
      <c r="F103" s="273">
        <v>0</v>
      </c>
      <c r="G103" s="273">
        <v>0</v>
      </c>
      <c r="H103" s="316"/>
      <c r="I103" s="286"/>
      <c r="J103" s="287">
        <v>0</v>
      </c>
      <c r="K103" s="287">
        <v>0</v>
      </c>
      <c r="L103" s="287">
        <v>0</v>
      </c>
      <c r="M103" s="287">
        <v>0</v>
      </c>
      <c r="N103" s="287">
        <v>0</v>
      </c>
      <c r="O103" s="287">
        <v>0</v>
      </c>
      <c r="P103" s="287">
        <v>4</v>
      </c>
      <c r="Q103" s="287">
        <v>4</v>
      </c>
      <c r="R103" s="287">
        <v>5</v>
      </c>
      <c r="S103" s="287">
        <v>5.5</v>
      </c>
      <c r="T103" s="287">
        <v>6</v>
      </c>
      <c r="U103" s="287">
        <v>6</v>
      </c>
      <c r="V103" s="317"/>
    </row>
    <row r="104" spans="1:22" x14ac:dyDescent="0.3">
      <c r="A104" s="52">
        <v>46</v>
      </c>
      <c r="B104" s="52" t="s">
        <v>5</v>
      </c>
      <c r="C104" s="156" t="s">
        <v>6</v>
      </c>
      <c r="D104" s="273">
        <v>0</v>
      </c>
      <c r="E104" s="273">
        <v>0</v>
      </c>
      <c r="F104" s="273">
        <v>0</v>
      </c>
      <c r="G104" s="273">
        <v>0</v>
      </c>
      <c r="H104" s="316"/>
      <c r="I104" s="286"/>
      <c r="J104" s="287">
        <v>0</v>
      </c>
      <c r="K104" s="287">
        <v>0</v>
      </c>
      <c r="L104" s="287">
        <v>0</v>
      </c>
      <c r="M104" s="287">
        <v>0</v>
      </c>
      <c r="N104" s="287">
        <v>0</v>
      </c>
      <c r="O104" s="287">
        <v>0</v>
      </c>
      <c r="P104" s="287">
        <v>0</v>
      </c>
      <c r="Q104" s="287">
        <v>0</v>
      </c>
      <c r="R104" s="287">
        <v>0</v>
      </c>
      <c r="S104" s="287">
        <v>4</v>
      </c>
      <c r="T104" s="287">
        <v>4.5</v>
      </c>
      <c r="U104" s="287">
        <v>5</v>
      </c>
      <c r="V104" s="317"/>
    </row>
    <row r="105" spans="1:22" x14ac:dyDescent="0.3">
      <c r="A105" s="52">
        <v>47</v>
      </c>
      <c r="B105" s="52" t="s">
        <v>134</v>
      </c>
      <c r="C105" s="156"/>
      <c r="D105" s="273">
        <v>0</v>
      </c>
      <c r="E105" s="273">
        <v>0</v>
      </c>
      <c r="F105" s="273">
        <v>0</v>
      </c>
      <c r="G105" s="273">
        <v>0</v>
      </c>
      <c r="H105" s="316"/>
      <c r="I105" s="286"/>
      <c r="J105" s="287">
        <v>0</v>
      </c>
      <c r="K105" s="287">
        <v>0</v>
      </c>
      <c r="L105" s="287">
        <v>0</v>
      </c>
      <c r="M105" s="287">
        <v>0</v>
      </c>
      <c r="N105" s="287">
        <v>0</v>
      </c>
      <c r="O105" s="287">
        <v>0</v>
      </c>
      <c r="P105" s="287">
        <v>0</v>
      </c>
      <c r="Q105" s="287">
        <v>0</v>
      </c>
      <c r="R105" s="287">
        <v>0</v>
      </c>
      <c r="S105" s="287">
        <v>5</v>
      </c>
      <c r="T105" s="287">
        <v>5.5</v>
      </c>
      <c r="U105" s="287">
        <v>6</v>
      </c>
      <c r="V105" s="317"/>
    </row>
    <row r="106" spans="1:22" hidden="1" x14ac:dyDescent="0.3">
      <c r="A106" s="52">
        <v>46</v>
      </c>
      <c r="B106" s="52"/>
      <c r="C106" s="156"/>
      <c r="D106" s="273">
        <v>0</v>
      </c>
      <c r="E106" s="273">
        <v>0</v>
      </c>
      <c r="F106" s="273">
        <v>0</v>
      </c>
      <c r="G106" s="273">
        <v>0</v>
      </c>
      <c r="H106" s="316"/>
      <c r="I106" s="286"/>
      <c r="J106" s="287">
        <v>0</v>
      </c>
      <c r="K106" s="287">
        <v>0</v>
      </c>
      <c r="L106" s="287">
        <v>0</v>
      </c>
      <c r="M106" s="287">
        <v>0</v>
      </c>
      <c r="N106" s="287">
        <v>0</v>
      </c>
      <c r="O106" s="287">
        <v>0</v>
      </c>
      <c r="P106" s="287">
        <v>0</v>
      </c>
      <c r="Q106" s="287">
        <v>0</v>
      </c>
      <c r="R106" s="287">
        <v>0</v>
      </c>
      <c r="S106" s="287">
        <v>0</v>
      </c>
      <c r="T106" s="287">
        <v>0</v>
      </c>
      <c r="U106" s="287">
        <v>0</v>
      </c>
      <c r="V106" s="317"/>
    </row>
    <row r="107" spans="1:22" hidden="1" x14ac:dyDescent="0.3">
      <c r="A107" s="332">
        <v>47</v>
      </c>
      <c r="B107" s="52"/>
      <c r="C107" s="156"/>
      <c r="D107" s="273">
        <v>0</v>
      </c>
      <c r="E107" s="273">
        <v>0</v>
      </c>
      <c r="F107" s="273">
        <v>0</v>
      </c>
      <c r="G107" s="273">
        <v>0</v>
      </c>
      <c r="H107" s="316"/>
      <c r="I107" s="286"/>
      <c r="J107" s="287">
        <v>0</v>
      </c>
      <c r="K107" s="287">
        <v>0</v>
      </c>
      <c r="L107" s="287">
        <v>0</v>
      </c>
      <c r="M107" s="287">
        <v>0</v>
      </c>
      <c r="N107" s="287">
        <v>0</v>
      </c>
      <c r="O107" s="287">
        <v>0</v>
      </c>
      <c r="P107" s="287">
        <v>0</v>
      </c>
      <c r="Q107" s="287">
        <v>0</v>
      </c>
      <c r="R107" s="287">
        <v>0</v>
      </c>
      <c r="S107" s="287">
        <v>0</v>
      </c>
      <c r="T107" s="287">
        <v>0</v>
      </c>
      <c r="U107" s="287">
        <v>0</v>
      </c>
      <c r="V107" s="317"/>
    </row>
    <row r="108" spans="1:22" hidden="1" x14ac:dyDescent="0.3">
      <c r="A108" s="52">
        <v>48</v>
      </c>
      <c r="B108" s="52"/>
      <c r="C108" s="156"/>
      <c r="D108" s="273">
        <v>0</v>
      </c>
      <c r="E108" s="273">
        <v>0</v>
      </c>
      <c r="F108" s="273">
        <v>0</v>
      </c>
      <c r="G108" s="273">
        <v>0</v>
      </c>
      <c r="H108" s="316"/>
      <c r="I108" s="286"/>
      <c r="J108" s="287">
        <v>0</v>
      </c>
      <c r="K108" s="287">
        <v>0</v>
      </c>
      <c r="L108" s="287">
        <v>0</v>
      </c>
      <c r="M108" s="287">
        <v>0</v>
      </c>
      <c r="N108" s="287">
        <v>0</v>
      </c>
      <c r="O108" s="287">
        <v>0</v>
      </c>
      <c r="P108" s="287">
        <v>0</v>
      </c>
      <c r="Q108" s="287">
        <v>0</v>
      </c>
      <c r="R108" s="287">
        <v>0</v>
      </c>
      <c r="S108" s="287">
        <v>0</v>
      </c>
      <c r="T108" s="287">
        <v>0</v>
      </c>
      <c r="U108" s="287">
        <v>0</v>
      </c>
      <c r="V108" s="317"/>
    </row>
    <row r="109" spans="1:22" x14ac:dyDescent="0.3">
      <c r="D109" s="237">
        <f>SUM(D59:D108)</f>
        <v>99.5</v>
      </c>
      <c r="E109" s="237">
        <f t="shared" ref="E109:U109" si="83">SUM(E59:E108)</f>
        <v>106.5</v>
      </c>
      <c r="F109" s="237">
        <f t="shared" si="83"/>
        <v>171.5</v>
      </c>
      <c r="G109" s="237">
        <f t="shared" si="83"/>
        <v>199</v>
      </c>
      <c r="I109" s="237">
        <f t="shared" si="83"/>
        <v>0</v>
      </c>
      <c r="J109" s="237">
        <f t="shared" si="83"/>
        <v>212</v>
      </c>
      <c r="K109" s="237">
        <f t="shared" si="83"/>
        <v>229.5</v>
      </c>
      <c r="L109" s="237">
        <f t="shared" si="83"/>
        <v>242</v>
      </c>
      <c r="M109" s="237">
        <f t="shared" si="83"/>
        <v>229</v>
      </c>
      <c r="N109" s="237">
        <f t="shared" si="83"/>
        <v>207</v>
      </c>
      <c r="O109" s="237">
        <f t="shared" si="83"/>
        <v>173</v>
      </c>
      <c r="P109" s="237">
        <f t="shared" si="83"/>
        <v>145.5</v>
      </c>
      <c r="Q109" s="237">
        <f t="shared" si="83"/>
        <v>93.5</v>
      </c>
      <c r="R109" s="237">
        <f t="shared" si="83"/>
        <v>58</v>
      </c>
      <c r="S109" s="237">
        <f t="shared" si="83"/>
        <v>84</v>
      </c>
      <c r="T109" s="237">
        <f t="shared" si="83"/>
        <v>96.5</v>
      </c>
      <c r="U109" s="237">
        <f t="shared" si="83"/>
        <v>118.5</v>
      </c>
      <c r="V109" s="237"/>
    </row>
  </sheetData>
  <mergeCells count="6">
    <mergeCell ref="D56:H56"/>
    <mergeCell ref="D57:G57"/>
    <mergeCell ref="H57:H58"/>
    <mergeCell ref="J57:U57"/>
    <mergeCell ref="V57:V58"/>
    <mergeCell ref="J56:U56"/>
  </mergeCells>
  <phoneticPr fontId="12" type="noConversion"/>
  <pageMargins left="0.25" right="0.25" top="0" bottom="0" header="0.3" footer="0.3"/>
  <pageSetup paperSize="9" scale="71" orientation="landscape" r:id="rId1"/>
  <ignoredErrors>
    <ignoredError sqref="B59:B74 B99:B100 B79:B9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52"/>
  <sheetViews>
    <sheetView workbookViewId="0">
      <pane xSplit="3" ySplit="2" topLeftCell="I33" activePane="bottomRight" state="frozen"/>
      <selection pane="topRight" activeCell="D1" sqref="D1"/>
      <selection pane="bottomLeft" activeCell="A3" sqref="A3"/>
      <selection pane="bottomRight" activeCell="N3" sqref="N3:N7"/>
    </sheetView>
  </sheetViews>
  <sheetFormatPr defaultRowHeight="14.4" x14ac:dyDescent="0.3"/>
  <cols>
    <col min="2" max="2" width="12.33203125" style="6" customWidth="1"/>
    <col min="3" max="6" width="12.109375" style="6" customWidth="1"/>
    <col min="7" max="7" width="15.5546875" style="6" bestFit="1" customWidth="1"/>
    <col min="8" max="9" width="15.5546875" style="6" customWidth="1"/>
    <col min="10" max="10" width="14.44140625" style="6" bestFit="1" customWidth="1"/>
    <col min="11" max="11" width="11.44140625" bestFit="1" customWidth="1"/>
    <col min="12" max="12" width="10.44140625" bestFit="1" customWidth="1"/>
    <col min="13" max="13" width="9.33203125" customWidth="1"/>
    <col min="14" max="14" width="10.44140625" bestFit="1" customWidth="1"/>
    <col min="16" max="16" width="10.44140625" bestFit="1" customWidth="1"/>
    <col min="18" max="18" width="10.44140625" bestFit="1" customWidth="1"/>
    <col min="20" max="20" width="10.44140625" bestFit="1" customWidth="1"/>
  </cols>
  <sheetData>
    <row r="2" spans="1:20" x14ac:dyDescent="0.3">
      <c r="A2" s="61" t="s">
        <v>0</v>
      </c>
      <c r="B2" s="61" t="s">
        <v>1</v>
      </c>
      <c r="C2" s="61" t="s">
        <v>2</v>
      </c>
      <c r="D2" s="61" t="s">
        <v>104</v>
      </c>
      <c r="E2" s="61" t="s">
        <v>100</v>
      </c>
      <c r="F2" s="61" t="s">
        <v>101</v>
      </c>
      <c r="G2" s="61" t="s">
        <v>102</v>
      </c>
      <c r="H2" s="61" t="s">
        <v>116</v>
      </c>
      <c r="I2" s="61" t="s">
        <v>117</v>
      </c>
      <c r="J2" s="61" t="s">
        <v>103</v>
      </c>
      <c r="K2" s="61" t="s">
        <v>97</v>
      </c>
      <c r="L2" s="61" t="s">
        <v>98</v>
      </c>
      <c r="M2" s="61" t="s">
        <v>106</v>
      </c>
      <c r="N2" s="61" t="s">
        <v>99</v>
      </c>
      <c r="P2" s="66" t="s">
        <v>118</v>
      </c>
      <c r="R2" s="67" t="s">
        <v>119</v>
      </c>
    </row>
    <row r="3" spans="1:20" x14ac:dyDescent="0.3">
      <c r="A3" s="51">
        <v>44</v>
      </c>
      <c r="B3" s="52" t="s">
        <v>88</v>
      </c>
      <c r="C3" s="53" t="s">
        <v>89</v>
      </c>
      <c r="D3" s="60" t="s">
        <v>105</v>
      </c>
      <c r="E3" s="56">
        <v>41072</v>
      </c>
      <c r="F3" s="64">
        <v>5</v>
      </c>
      <c r="G3" s="64">
        <v>375</v>
      </c>
      <c r="H3" s="64">
        <v>2446.5</v>
      </c>
      <c r="I3" s="63">
        <f>H3/G3</f>
        <v>6.524</v>
      </c>
      <c r="J3" s="58">
        <v>668</v>
      </c>
      <c r="K3" s="55">
        <v>43783</v>
      </c>
      <c r="L3" s="55"/>
      <c r="M3" s="55"/>
      <c r="N3" s="55">
        <f>K3+45</f>
        <v>43828</v>
      </c>
      <c r="P3" s="62">
        <f>K3+280</f>
        <v>44063</v>
      </c>
      <c r="R3" s="62">
        <f>N3+30+310</f>
        <v>44168</v>
      </c>
      <c r="T3" s="62">
        <f>R3+280</f>
        <v>44448</v>
      </c>
    </row>
    <row r="4" spans="1:20" x14ac:dyDescent="0.3">
      <c r="A4" s="51">
        <v>45</v>
      </c>
      <c r="B4" s="52" t="s">
        <v>91</v>
      </c>
      <c r="C4" s="53" t="s">
        <v>92</v>
      </c>
      <c r="D4" s="53" t="s">
        <v>109</v>
      </c>
      <c r="E4" s="56">
        <v>39623</v>
      </c>
      <c r="F4" s="64">
        <v>7</v>
      </c>
      <c r="G4" s="64">
        <v>328</v>
      </c>
      <c r="H4" s="64">
        <v>1804</v>
      </c>
      <c r="I4" s="63">
        <f t="shared" ref="I4:I47" si="0">H4/G4</f>
        <v>5.5</v>
      </c>
      <c r="J4" s="58">
        <v>459</v>
      </c>
      <c r="K4" s="55">
        <v>43797</v>
      </c>
      <c r="L4" s="55"/>
      <c r="M4" s="55"/>
      <c r="N4" s="55">
        <f t="shared" ref="N4:N24" si="1">K4+45</f>
        <v>43842</v>
      </c>
      <c r="P4" s="62">
        <f t="shared" ref="P4:P38" si="2">K4+280</f>
        <v>44077</v>
      </c>
      <c r="R4" s="62">
        <f t="shared" ref="R4:R38" si="3">N4+30+310</f>
        <v>44182</v>
      </c>
      <c r="T4" s="62">
        <f t="shared" ref="T4:T45" si="4">R4+280</f>
        <v>44462</v>
      </c>
    </row>
    <row r="5" spans="1:20" x14ac:dyDescent="0.3">
      <c r="A5" s="51">
        <v>9</v>
      </c>
      <c r="B5" s="52" t="s">
        <v>19</v>
      </c>
      <c r="C5" s="53" t="s">
        <v>20</v>
      </c>
      <c r="D5" s="53" t="s">
        <v>109</v>
      </c>
      <c r="E5" s="56">
        <v>41010</v>
      </c>
      <c r="F5" s="64">
        <v>3</v>
      </c>
      <c r="G5" s="64">
        <v>302</v>
      </c>
      <c r="H5" s="64">
        <v>2347</v>
      </c>
      <c r="I5" s="63">
        <f t="shared" si="0"/>
        <v>7.7715231788079473</v>
      </c>
      <c r="J5" s="58">
        <v>541</v>
      </c>
      <c r="K5" s="55">
        <v>43804</v>
      </c>
      <c r="L5" s="55"/>
      <c r="M5" s="55"/>
      <c r="N5" s="55">
        <f t="shared" si="1"/>
        <v>43849</v>
      </c>
      <c r="P5" s="62">
        <f t="shared" si="2"/>
        <v>44084</v>
      </c>
      <c r="R5" s="62">
        <f t="shared" si="3"/>
        <v>44189</v>
      </c>
      <c r="T5" s="62">
        <f t="shared" si="4"/>
        <v>44469</v>
      </c>
    </row>
    <row r="6" spans="1:20" x14ac:dyDescent="0.3">
      <c r="A6" s="51">
        <v>10</v>
      </c>
      <c r="B6" s="52" t="s">
        <v>21</v>
      </c>
      <c r="C6" s="53" t="s">
        <v>22</v>
      </c>
      <c r="D6" s="53" t="s">
        <v>109</v>
      </c>
      <c r="E6" s="56">
        <v>41477</v>
      </c>
      <c r="F6" s="64">
        <v>2</v>
      </c>
      <c r="G6" s="64">
        <v>375</v>
      </c>
      <c r="H6" s="64">
        <v>2687</v>
      </c>
      <c r="I6" s="63">
        <f t="shared" si="0"/>
        <v>7.1653333333333338</v>
      </c>
      <c r="J6" s="58">
        <v>665</v>
      </c>
      <c r="K6" s="55">
        <v>43804</v>
      </c>
      <c r="L6" s="55"/>
      <c r="M6" s="55"/>
      <c r="N6" s="55">
        <f t="shared" si="1"/>
        <v>43849</v>
      </c>
      <c r="P6" s="62">
        <f t="shared" si="2"/>
        <v>44084</v>
      </c>
      <c r="R6" s="62">
        <f t="shared" si="3"/>
        <v>44189</v>
      </c>
      <c r="T6" s="62">
        <f t="shared" si="4"/>
        <v>44469</v>
      </c>
    </row>
    <row r="7" spans="1:20" x14ac:dyDescent="0.3">
      <c r="A7" s="51">
        <v>4</v>
      </c>
      <c r="B7" s="52" t="s">
        <v>9</v>
      </c>
      <c r="C7" s="53" t="s">
        <v>10</v>
      </c>
      <c r="D7" s="53" t="s">
        <v>105</v>
      </c>
      <c r="E7" s="56">
        <v>38545</v>
      </c>
      <c r="F7" s="64">
        <v>7</v>
      </c>
      <c r="G7" s="64">
        <v>338</v>
      </c>
      <c r="H7" s="64">
        <v>2366</v>
      </c>
      <c r="I7" s="63">
        <f t="shared" si="0"/>
        <v>7</v>
      </c>
      <c r="J7" s="58">
        <v>548</v>
      </c>
      <c r="K7" s="55">
        <v>43805</v>
      </c>
      <c r="L7" s="55"/>
      <c r="M7" s="55"/>
      <c r="N7" s="55">
        <f t="shared" si="1"/>
        <v>43850</v>
      </c>
      <c r="P7" s="62">
        <f t="shared" si="2"/>
        <v>44085</v>
      </c>
      <c r="R7" s="62">
        <f t="shared" si="3"/>
        <v>44190</v>
      </c>
      <c r="T7" s="62">
        <f t="shared" si="4"/>
        <v>44470</v>
      </c>
    </row>
    <row r="8" spans="1:20" x14ac:dyDescent="0.3">
      <c r="A8" s="51">
        <v>8</v>
      </c>
      <c r="B8" s="52" t="s">
        <v>17</v>
      </c>
      <c r="C8" s="53" t="s">
        <v>18</v>
      </c>
      <c r="D8" s="53" t="s">
        <v>113</v>
      </c>
      <c r="E8" s="56">
        <v>41193</v>
      </c>
      <c r="F8" s="64">
        <v>7</v>
      </c>
      <c r="G8" s="64">
        <v>352</v>
      </c>
      <c r="H8" s="64">
        <v>2640</v>
      </c>
      <c r="I8" s="63">
        <f t="shared" si="0"/>
        <v>7.5</v>
      </c>
      <c r="J8" s="58">
        <v>640</v>
      </c>
      <c r="K8" s="55">
        <v>43806</v>
      </c>
      <c r="L8" s="55"/>
      <c r="M8" s="55"/>
      <c r="N8" s="55">
        <f t="shared" si="1"/>
        <v>43851</v>
      </c>
      <c r="P8" s="62">
        <f t="shared" si="2"/>
        <v>44086</v>
      </c>
      <c r="R8" s="62">
        <f t="shared" si="3"/>
        <v>44191</v>
      </c>
      <c r="T8" s="62">
        <f t="shared" si="4"/>
        <v>44471</v>
      </c>
    </row>
    <row r="9" spans="1:20" x14ac:dyDescent="0.3">
      <c r="A9" s="51">
        <v>12</v>
      </c>
      <c r="B9" s="52" t="s">
        <v>24</v>
      </c>
      <c r="C9" s="53" t="s">
        <v>25</v>
      </c>
      <c r="D9" s="53" t="s">
        <v>105</v>
      </c>
      <c r="E9" s="56">
        <v>41496</v>
      </c>
      <c r="F9" s="64">
        <v>2</v>
      </c>
      <c r="G9" s="64">
        <v>373</v>
      </c>
      <c r="H9" s="64">
        <v>2400</v>
      </c>
      <c r="I9" s="63">
        <f t="shared" si="0"/>
        <v>6.4343163538873993</v>
      </c>
      <c r="J9" s="58">
        <v>619</v>
      </c>
      <c r="K9" s="55">
        <v>43806</v>
      </c>
      <c r="L9" s="55"/>
      <c r="M9" s="55"/>
      <c r="N9" s="55">
        <f t="shared" si="1"/>
        <v>43851</v>
      </c>
      <c r="P9" s="62">
        <f t="shared" si="2"/>
        <v>44086</v>
      </c>
      <c r="R9" s="62">
        <f t="shared" si="3"/>
        <v>44191</v>
      </c>
      <c r="T9" s="62">
        <f t="shared" si="4"/>
        <v>44471</v>
      </c>
    </row>
    <row r="10" spans="1:20" x14ac:dyDescent="0.3">
      <c r="A10" s="51">
        <v>20</v>
      </c>
      <c r="B10" s="52" t="s">
        <v>41</v>
      </c>
      <c r="C10" s="53" t="s">
        <v>42</v>
      </c>
      <c r="D10" s="53" t="s">
        <v>105</v>
      </c>
      <c r="E10" s="56">
        <v>41496</v>
      </c>
      <c r="F10" s="64">
        <v>2</v>
      </c>
      <c r="G10" s="64">
        <v>386</v>
      </c>
      <c r="H10" s="64">
        <v>2387</v>
      </c>
      <c r="I10" s="63">
        <f t="shared" si="0"/>
        <v>6.1839378238341967</v>
      </c>
      <c r="J10" s="58">
        <v>666</v>
      </c>
      <c r="K10" s="55">
        <v>43807</v>
      </c>
      <c r="L10" s="55"/>
      <c r="M10" s="55"/>
      <c r="N10" s="55">
        <f t="shared" si="1"/>
        <v>43852</v>
      </c>
      <c r="P10" s="62">
        <f t="shared" si="2"/>
        <v>44087</v>
      </c>
      <c r="R10" s="62">
        <f t="shared" si="3"/>
        <v>44192</v>
      </c>
      <c r="T10" s="62">
        <f t="shared" si="4"/>
        <v>44472</v>
      </c>
    </row>
    <row r="11" spans="1:20" x14ac:dyDescent="0.3">
      <c r="A11" s="51">
        <v>5</v>
      </c>
      <c r="B11" s="52" t="s">
        <v>11</v>
      </c>
      <c r="C11" s="53" t="s">
        <v>12</v>
      </c>
      <c r="D11" s="53" t="s">
        <v>105</v>
      </c>
      <c r="E11" s="56">
        <v>39459</v>
      </c>
      <c r="F11" s="64">
        <v>5</v>
      </c>
      <c r="G11" s="64">
        <v>303</v>
      </c>
      <c r="H11" s="64">
        <v>1481</v>
      </c>
      <c r="I11" s="63">
        <f t="shared" si="0"/>
        <v>4.887788778877888</v>
      </c>
      <c r="J11" s="58">
        <v>970</v>
      </c>
      <c r="K11" s="55">
        <v>43807</v>
      </c>
      <c r="L11" s="55"/>
      <c r="M11" s="55"/>
      <c r="N11" s="55">
        <f t="shared" si="1"/>
        <v>43852</v>
      </c>
      <c r="P11" s="62">
        <f t="shared" si="2"/>
        <v>44087</v>
      </c>
      <c r="R11" s="62">
        <f t="shared" si="3"/>
        <v>44192</v>
      </c>
      <c r="T11" s="62">
        <f t="shared" si="4"/>
        <v>44472</v>
      </c>
    </row>
    <row r="12" spans="1:20" x14ac:dyDescent="0.3">
      <c r="A12" s="51">
        <v>31</v>
      </c>
      <c r="B12" s="52" t="s">
        <v>61</v>
      </c>
      <c r="C12" s="53" t="s">
        <v>62</v>
      </c>
      <c r="D12" s="53" t="s">
        <v>105</v>
      </c>
      <c r="E12" s="56">
        <v>40281</v>
      </c>
      <c r="F12" s="64">
        <v>6</v>
      </c>
      <c r="G12" s="64">
        <v>352</v>
      </c>
      <c r="H12" s="64">
        <v>2467</v>
      </c>
      <c r="I12" s="63">
        <f t="shared" si="0"/>
        <v>7.0085227272727275</v>
      </c>
      <c r="J12" s="58">
        <v>530</v>
      </c>
      <c r="K12" s="55">
        <v>43809</v>
      </c>
      <c r="L12" s="55"/>
      <c r="M12" s="55"/>
      <c r="N12" s="55">
        <f t="shared" si="1"/>
        <v>43854</v>
      </c>
      <c r="P12" s="62">
        <f t="shared" si="2"/>
        <v>44089</v>
      </c>
      <c r="R12" s="62">
        <f t="shared" si="3"/>
        <v>44194</v>
      </c>
      <c r="T12" s="62">
        <f t="shared" si="4"/>
        <v>44474</v>
      </c>
    </row>
    <row r="13" spans="1:20" x14ac:dyDescent="0.3">
      <c r="A13" s="51">
        <v>28</v>
      </c>
      <c r="B13" s="52" t="s">
        <v>57</v>
      </c>
      <c r="C13" s="53" t="s">
        <v>58</v>
      </c>
      <c r="D13" s="53" t="s">
        <v>109</v>
      </c>
      <c r="E13" s="56">
        <v>41247</v>
      </c>
      <c r="F13" s="64">
        <v>2</v>
      </c>
      <c r="G13" s="64">
        <v>310</v>
      </c>
      <c r="H13" s="64">
        <v>2046.5</v>
      </c>
      <c r="I13" s="63">
        <f t="shared" si="0"/>
        <v>6.6016129032258064</v>
      </c>
      <c r="J13" s="58">
        <v>632</v>
      </c>
      <c r="K13" s="55">
        <v>43810</v>
      </c>
      <c r="L13" s="55"/>
      <c r="M13" s="55"/>
      <c r="N13" s="55">
        <f t="shared" si="1"/>
        <v>43855</v>
      </c>
      <c r="P13" s="62">
        <f t="shared" si="2"/>
        <v>44090</v>
      </c>
      <c r="R13" s="62">
        <f t="shared" si="3"/>
        <v>44195</v>
      </c>
      <c r="T13" s="62">
        <f t="shared" si="4"/>
        <v>44475</v>
      </c>
    </row>
    <row r="14" spans="1:20" x14ac:dyDescent="0.3">
      <c r="A14" s="51">
        <v>19</v>
      </c>
      <c r="B14" s="52" t="s">
        <v>114</v>
      </c>
      <c r="C14" s="53" t="s">
        <v>115</v>
      </c>
      <c r="D14" s="53" t="s">
        <v>109</v>
      </c>
      <c r="E14" s="56">
        <v>41491</v>
      </c>
      <c r="F14" s="64">
        <v>3</v>
      </c>
      <c r="G14" s="64">
        <v>334</v>
      </c>
      <c r="H14" s="64">
        <v>2328</v>
      </c>
      <c r="I14" s="63">
        <f t="shared" si="0"/>
        <v>6.9700598802395213</v>
      </c>
      <c r="J14" s="58">
        <v>814</v>
      </c>
      <c r="K14" s="55">
        <v>43811</v>
      </c>
      <c r="L14" s="55"/>
      <c r="M14" s="55"/>
      <c r="N14" s="55">
        <f t="shared" si="1"/>
        <v>43856</v>
      </c>
      <c r="P14" s="62">
        <f t="shared" si="2"/>
        <v>44091</v>
      </c>
      <c r="R14" s="62">
        <f t="shared" si="3"/>
        <v>44196</v>
      </c>
      <c r="T14" s="62">
        <f t="shared" si="4"/>
        <v>44476</v>
      </c>
    </row>
    <row r="15" spans="1:20" x14ac:dyDescent="0.3">
      <c r="A15" s="51">
        <v>32</v>
      </c>
      <c r="B15" s="52" t="s">
        <v>63</v>
      </c>
      <c r="C15" s="53" t="s">
        <v>64</v>
      </c>
      <c r="D15" s="53" t="s">
        <v>109</v>
      </c>
      <c r="E15" s="56">
        <v>41183</v>
      </c>
      <c r="F15" s="64">
        <v>2</v>
      </c>
      <c r="G15" s="64">
        <v>334</v>
      </c>
      <c r="H15" s="64">
        <v>2185</v>
      </c>
      <c r="I15" s="63">
        <f t="shared" si="0"/>
        <v>6.5419161676646711</v>
      </c>
      <c r="J15" s="58">
        <v>633</v>
      </c>
      <c r="K15" s="55">
        <v>43811</v>
      </c>
      <c r="L15" s="55"/>
      <c r="M15" s="55"/>
      <c r="N15" s="55">
        <f t="shared" si="1"/>
        <v>43856</v>
      </c>
      <c r="P15" s="62">
        <f t="shared" si="2"/>
        <v>44091</v>
      </c>
      <c r="R15" s="62">
        <f t="shared" si="3"/>
        <v>44196</v>
      </c>
      <c r="T15" s="62">
        <f t="shared" si="4"/>
        <v>44476</v>
      </c>
    </row>
    <row r="16" spans="1:20" x14ac:dyDescent="0.3">
      <c r="A16" s="51">
        <v>22</v>
      </c>
      <c r="B16" s="52" t="s">
        <v>112</v>
      </c>
      <c r="C16" s="53" t="s">
        <v>46</v>
      </c>
      <c r="D16" s="53" t="s">
        <v>113</v>
      </c>
      <c r="E16" s="56">
        <v>40676</v>
      </c>
      <c r="F16" s="64">
        <v>6</v>
      </c>
      <c r="G16" s="64">
        <v>377</v>
      </c>
      <c r="H16" s="64">
        <v>2825</v>
      </c>
      <c r="I16" s="63">
        <f t="shared" si="0"/>
        <v>7.4933687002652523</v>
      </c>
      <c r="J16" s="58">
        <v>646</v>
      </c>
      <c r="K16" s="55">
        <v>43812</v>
      </c>
      <c r="L16" s="55"/>
      <c r="M16" s="55"/>
      <c r="N16" s="55">
        <f t="shared" si="1"/>
        <v>43857</v>
      </c>
      <c r="P16" s="62">
        <f t="shared" si="2"/>
        <v>44092</v>
      </c>
      <c r="R16" s="62">
        <f t="shared" si="3"/>
        <v>44197</v>
      </c>
      <c r="T16" s="62">
        <f t="shared" si="4"/>
        <v>44477</v>
      </c>
    </row>
    <row r="17" spans="1:20" x14ac:dyDescent="0.3">
      <c r="A17" s="51">
        <v>11</v>
      </c>
      <c r="B17" s="52" t="s">
        <v>23</v>
      </c>
      <c r="C17" s="53" t="s">
        <v>26</v>
      </c>
      <c r="D17" s="53"/>
      <c r="E17" s="56">
        <v>41565</v>
      </c>
      <c r="F17" s="64">
        <v>2</v>
      </c>
      <c r="G17" s="64">
        <v>379</v>
      </c>
      <c r="H17" s="64">
        <v>2353</v>
      </c>
      <c r="I17" s="63">
        <f t="shared" si="0"/>
        <v>6.20844327176781</v>
      </c>
      <c r="J17" s="58">
        <v>655</v>
      </c>
      <c r="K17" s="55">
        <v>43812</v>
      </c>
      <c r="L17" s="55"/>
      <c r="M17" s="55"/>
      <c r="N17" s="55">
        <f t="shared" si="1"/>
        <v>43857</v>
      </c>
      <c r="P17" s="62">
        <f t="shared" si="2"/>
        <v>44092</v>
      </c>
      <c r="R17" s="62">
        <f t="shared" si="3"/>
        <v>44197</v>
      </c>
      <c r="T17" s="62">
        <f t="shared" si="4"/>
        <v>44477</v>
      </c>
    </row>
    <row r="18" spans="1:20" x14ac:dyDescent="0.3">
      <c r="A18" s="51">
        <v>16</v>
      </c>
      <c r="B18" s="52" t="s">
        <v>33</v>
      </c>
      <c r="C18" s="53" t="s">
        <v>34</v>
      </c>
      <c r="D18" s="53" t="s">
        <v>105</v>
      </c>
      <c r="E18" s="56">
        <v>39613</v>
      </c>
      <c r="F18" s="64">
        <v>6</v>
      </c>
      <c r="G18" s="64">
        <v>324</v>
      </c>
      <c r="H18" s="64">
        <v>2300</v>
      </c>
      <c r="I18" s="63">
        <f t="shared" si="0"/>
        <v>7.0987654320987659</v>
      </c>
      <c r="J18" s="58">
        <v>482</v>
      </c>
      <c r="K18" s="55">
        <v>43814</v>
      </c>
      <c r="L18" s="55"/>
      <c r="M18" s="55"/>
      <c r="N18" s="55">
        <f t="shared" si="1"/>
        <v>43859</v>
      </c>
      <c r="P18" s="62">
        <f t="shared" si="2"/>
        <v>44094</v>
      </c>
      <c r="R18" s="62">
        <f t="shared" si="3"/>
        <v>44199</v>
      </c>
      <c r="T18" s="62">
        <f t="shared" si="4"/>
        <v>44479</v>
      </c>
    </row>
    <row r="19" spans="1:20" x14ac:dyDescent="0.3">
      <c r="A19" s="51">
        <v>14</v>
      </c>
      <c r="B19" s="52" t="s">
        <v>29</v>
      </c>
      <c r="C19" s="53" t="s">
        <v>30</v>
      </c>
      <c r="D19" s="53" t="s">
        <v>109</v>
      </c>
      <c r="E19" s="56">
        <v>41249</v>
      </c>
      <c r="F19" s="64">
        <v>2</v>
      </c>
      <c r="G19" s="64">
        <v>350</v>
      </c>
      <c r="H19" s="64">
        <v>2150</v>
      </c>
      <c r="I19" s="63">
        <f t="shared" si="0"/>
        <v>6.1428571428571432</v>
      </c>
      <c r="J19" s="58">
        <v>620</v>
      </c>
      <c r="K19" s="55">
        <v>43815</v>
      </c>
      <c r="L19" s="55"/>
      <c r="M19" s="55"/>
      <c r="N19" s="55">
        <f t="shared" si="1"/>
        <v>43860</v>
      </c>
      <c r="P19" s="62">
        <f t="shared" si="2"/>
        <v>44095</v>
      </c>
      <c r="R19" s="62">
        <f t="shared" si="3"/>
        <v>44200</v>
      </c>
      <c r="T19" s="62">
        <f t="shared" si="4"/>
        <v>44480</v>
      </c>
    </row>
    <row r="20" spans="1:20" x14ac:dyDescent="0.3">
      <c r="A20" s="51">
        <v>3</v>
      </c>
      <c r="B20" s="52" t="s">
        <v>7</v>
      </c>
      <c r="C20" s="53" t="s">
        <v>8</v>
      </c>
      <c r="D20" s="53"/>
      <c r="E20" s="56">
        <v>39367</v>
      </c>
      <c r="F20" s="64">
        <v>6</v>
      </c>
      <c r="G20" s="64">
        <v>292</v>
      </c>
      <c r="H20" s="64">
        <v>1634</v>
      </c>
      <c r="I20" s="63">
        <f t="shared" si="0"/>
        <v>5.595890410958904</v>
      </c>
      <c r="J20" s="58">
        <v>897</v>
      </c>
      <c r="K20" s="55">
        <v>43816</v>
      </c>
      <c r="L20" s="55"/>
      <c r="M20" s="55"/>
      <c r="N20" s="55">
        <f t="shared" si="1"/>
        <v>43861</v>
      </c>
      <c r="P20" s="62">
        <f t="shared" si="2"/>
        <v>44096</v>
      </c>
      <c r="R20" s="62">
        <f t="shared" si="3"/>
        <v>44201</v>
      </c>
      <c r="T20" s="62">
        <f t="shared" si="4"/>
        <v>44481</v>
      </c>
    </row>
    <row r="21" spans="1:20" x14ac:dyDescent="0.3">
      <c r="A21" s="51">
        <v>18</v>
      </c>
      <c r="B21" s="52" t="s">
        <v>37</v>
      </c>
      <c r="C21" s="53" t="s">
        <v>38</v>
      </c>
      <c r="D21" s="53" t="s">
        <v>109</v>
      </c>
      <c r="E21" s="56">
        <v>41558</v>
      </c>
      <c r="F21" s="64">
        <v>3</v>
      </c>
      <c r="G21" s="64">
        <v>341</v>
      </c>
      <c r="H21" s="64">
        <v>2207</v>
      </c>
      <c r="I21" s="63">
        <f t="shared" si="0"/>
        <v>6.4721407624633427</v>
      </c>
      <c r="J21" s="58">
        <v>610</v>
      </c>
      <c r="K21" s="55">
        <v>43816</v>
      </c>
      <c r="L21" s="55"/>
      <c r="M21" s="55"/>
      <c r="N21" s="55">
        <f t="shared" si="1"/>
        <v>43861</v>
      </c>
      <c r="P21" s="62">
        <f t="shared" si="2"/>
        <v>44096</v>
      </c>
      <c r="R21" s="62">
        <f t="shared" si="3"/>
        <v>44201</v>
      </c>
      <c r="T21" s="62">
        <f t="shared" si="4"/>
        <v>44481</v>
      </c>
    </row>
    <row r="22" spans="1:20" x14ac:dyDescent="0.3">
      <c r="A22" s="51">
        <v>17</v>
      </c>
      <c r="B22" s="52" t="s">
        <v>35</v>
      </c>
      <c r="C22" s="53" t="s">
        <v>36</v>
      </c>
      <c r="D22" s="53" t="s">
        <v>105</v>
      </c>
      <c r="E22" s="56">
        <v>41009</v>
      </c>
      <c r="F22" s="64">
        <v>5</v>
      </c>
      <c r="G22" s="64">
        <v>262</v>
      </c>
      <c r="H22" s="64">
        <v>1664.5</v>
      </c>
      <c r="I22" s="63">
        <f t="shared" si="0"/>
        <v>6.3530534351145036</v>
      </c>
      <c r="J22" s="58">
        <v>654</v>
      </c>
      <c r="K22" s="55">
        <v>43818</v>
      </c>
      <c r="L22" s="55"/>
      <c r="M22" s="55"/>
      <c r="N22" s="55">
        <f t="shared" si="1"/>
        <v>43863</v>
      </c>
      <c r="P22" s="62">
        <f t="shared" si="2"/>
        <v>44098</v>
      </c>
      <c r="R22" s="62">
        <f t="shared" si="3"/>
        <v>44203</v>
      </c>
      <c r="T22" s="62">
        <f t="shared" si="4"/>
        <v>44483</v>
      </c>
    </row>
    <row r="23" spans="1:20" x14ac:dyDescent="0.3">
      <c r="A23" s="51">
        <v>15</v>
      </c>
      <c r="B23" s="52" t="s">
        <v>31</v>
      </c>
      <c r="C23" s="53" t="s">
        <v>32</v>
      </c>
      <c r="D23" s="53" t="s">
        <v>109</v>
      </c>
      <c r="E23" s="56">
        <v>39094</v>
      </c>
      <c r="F23" s="64">
        <v>3</v>
      </c>
      <c r="G23" s="64">
        <v>289</v>
      </c>
      <c r="H23" s="64">
        <v>1735</v>
      </c>
      <c r="I23" s="63">
        <f t="shared" si="0"/>
        <v>6.0034602076124566</v>
      </c>
      <c r="J23" s="58">
        <v>783</v>
      </c>
      <c r="K23" s="55">
        <v>43818</v>
      </c>
      <c r="L23" s="55"/>
      <c r="M23" s="55"/>
      <c r="N23" s="55">
        <f t="shared" si="1"/>
        <v>43863</v>
      </c>
      <c r="P23" s="62">
        <f t="shared" si="2"/>
        <v>44098</v>
      </c>
      <c r="R23" s="62">
        <f t="shared" si="3"/>
        <v>44203</v>
      </c>
      <c r="T23" s="62">
        <f t="shared" si="4"/>
        <v>44483</v>
      </c>
    </row>
    <row r="24" spans="1:20" x14ac:dyDescent="0.3">
      <c r="A24" s="51">
        <v>29</v>
      </c>
      <c r="B24" s="52" t="s">
        <v>59</v>
      </c>
      <c r="C24" s="53" t="s">
        <v>60</v>
      </c>
      <c r="D24" s="53" t="s">
        <v>109</v>
      </c>
      <c r="E24" s="56">
        <v>41719</v>
      </c>
      <c r="F24" s="64">
        <v>2</v>
      </c>
      <c r="G24" s="64">
        <v>332</v>
      </c>
      <c r="H24" s="64">
        <v>2167</v>
      </c>
      <c r="I24" s="63">
        <f t="shared" si="0"/>
        <v>6.5271084337349397</v>
      </c>
      <c r="J24" s="58">
        <v>617</v>
      </c>
      <c r="K24" s="55">
        <v>43819</v>
      </c>
      <c r="L24" s="55"/>
      <c r="M24" s="55"/>
      <c r="N24" s="55">
        <f t="shared" si="1"/>
        <v>43864</v>
      </c>
      <c r="P24" s="62">
        <f t="shared" si="2"/>
        <v>44099</v>
      </c>
      <c r="R24" s="62">
        <f t="shared" si="3"/>
        <v>44204</v>
      </c>
      <c r="T24" s="62">
        <f t="shared" si="4"/>
        <v>44484</v>
      </c>
    </row>
    <row r="25" spans="1:20" x14ac:dyDescent="0.3">
      <c r="A25" s="51">
        <v>7</v>
      </c>
      <c r="B25" s="52" t="s">
        <v>15</v>
      </c>
      <c r="C25" s="53" t="s">
        <v>16</v>
      </c>
      <c r="D25" s="53" t="s">
        <v>109</v>
      </c>
      <c r="E25" s="56">
        <v>39670</v>
      </c>
      <c r="F25" s="64">
        <v>4</v>
      </c>
      <c r="G25" s="64">
        <v>261</v>
      </c>
      <c r="H25" s="64">
        <v>1563</v>
      </c>
      <c r="I25" s="63">
        <f t="shared" si="0"/>
        <v>5.9885057471264371</v>
      </c>
      <c r="J25" s="58">
        <v>522</v>
      </c>
      <c r="K25" s="55">
        <v>43821</v>
      </c>
      <c r="L25" s="55"/>
      <c r="M25" s="55"/>
      <c r="N25" s="55">
        <f>K25+45</f>
        <v>43866</v>
      </c>
      <c r="P25" s="62">
        <f t="shared" si="2"/>
        <v>44101</v>
      </c>
      <c r="R25" s="62">
        <f t="shared" si="3"/>
        <v>44206</v>
      </c>
      <c r="T25" s="62">
        <f t="shared" si="4"/>
        <v>44486</v>
      </c>
    </row>
    <row r="26" spans="1:20" x14ac:dyDescent="0.3">
      <c r="A26" s="51">
        <v>26</v>
      </c>
      <c r="B26" s="52" t="s">
        <v>53</v>
      </c>
      <c r="C26" s="53" t="s">
        <v>54</v>
      </c>
      <c r="D26" s="53" t="s">
        <v>105</v>
      </c>
      <c r="E26" s="56">
        <v>40308</v>
      </c>
      <c r="F26" s="64">
        <v>6</v>
      </c>
      <c r="G26" s="64">
        <v>282</v>
      </c>
      <c r="H26" s="64"/>
      <c r="I26" s="63">
        <f t="shared" si="0"/>
        <v>0</v>
      </c>
      <c r="J26" s="58">
        <v>391</v>
      </c>
      <c r="K26" s="55">
        <v>43837</v>
      </c>
      <c r="L26" s="55"/>
      <c r="M26" s="55"/>
      <c r="N26" s="55">
        <f t="shared" ref="N26:N38" si="5">K26+45</f>
        <v>43882</v>
      </c>
      <c r="P26" s="62">
        <f t="shared" si="2"/>
        <v>44117</v>
      </c>
      <c r="R26" s="62">
        <f t="shared" si="3"/>
        <v>44222</v>
      </c>
      <c r="T26" s="62">
        <f t="shared" si="4"/>
        <v>44502</v>
      </c>
    </row>
    <row r="27" spans="1:20" x14ac:dyDescent="0.3">
      <c r="A27" s="51">
        <v>36</v>
      </c>
      <c r="B27" s="52" t="s">
        <v>71</v>
      </c>
      <c r="C27" s="53" t="s">
        <v>72</v>
      </c>
      <c r="D27" s="53" t="s">
        <v>109</v>
      </c>
      <c r="E27" s="56">
        <v>41464</v>
      </c>
      <c r="F27" s="64">
        <v>2</v>
      </c>
      <c r="G27" s="64">
        <v>325</v>
      </c>
      <c r="H27" s="64"/>
      <c r="I27" s="63">
        <f t="shared" si="0"/>
        <v>0</v>
      </c>
      <c r="J27" s="58">
        <v>430</v>
      </c>
      <c r="K27" s="55">
        <v>43840</v>
      </c>
      <c r="L27" s="55"/>
      <c r="M27" s="55"/>
      <c r="N27" s="55">
        <f t="shared" si="5"/>
        <v>43885</v>
      </c>
      <c r="P27" s="62">
        <f t="shared" si="2"/>
        <v>44120</v>
      </c>
      <c r="R27" s="62">
        <f t="shared" si="3"/>
        <v>44225</v>
      </c>
      <c r="T27" s="62">
        <f t="shared" si="4"/>
        <v>44505</v>
      </c>
    </row>
    <row r="28" spans="1:20" x14ac:dyDescent="0.3">
      <c r="A28" s="51">
        <v>30</v>
      </c>
      <c r="B28" s="52" t="s">
        <v>73</v>
      </c>
      <c r="C28" s="53" t="s">
        <v>74</v>
      </c>
      <c r="D28" s="53" t="s">
        <v>108</v>
      </c>
      <c r="E28" s="56">
        <v>41463</v>
      </c>
      <c r="F28" s="64">
        <v>1</v>
      </c>
      <c r="G28" s="64">
        <v>299</v>
      </c>
      <c r="H28" s="64"/>
      <c r="I28" s="63">
        <f t="shared" si="0"/>
        <v>0</v>
      </c>
      <c r="J28" s="58">
        <v>1720</v>
      </c>
      <c r="K28" s="55">
        <v>43840</v>
      </c>
      <c r="L28" s="55"/>
      <c r="M28" s="55"/>
      <c r="N28" s="55">
        <f t="shared" si="5"/>
        <v>43885</v>
      </c>
      <c r="P28" s="62">
        <f>K28+280</f>
        <v>44120</v>
      </c>
      <c r="R28" s="62">
        <f t="shared" si="3"/>
        <v>44225</v>
      </c>
      <c r="T28" s="62">
        <f t="shared" si="4"/>
        <v>44505</v>
      </c>
    </row>
    <row r="29" spans="1:20" x14ac:dyDescent="0.3">
      <c r="A29" s="51">
        <v>27</v>
      </c>
      <c r="B29" s="52" t="s">
        <v>55</v>
      </c>
      <c r="C29" s="53" t="s">
        <v>56</v>
      </c>
      <c r="D29" s="53" t="s">
        <v>109</v>
      </c>
      <c r="E29" s="56">
        <v>41106</v>
      </c>
      <c r="F29" s="64">
        <v>1</v>
      </c>
      <c r="G29" s="64">
        <v>353</v>
      </c>
      <c r="H29" s="64"/>
      <c r="I29" s="63">
        <f t="shared" si="0"/>
        <v>0</v>
      </c>
      <c r="J29" s="58">
        <v>1923</v>
      </c>
      <c r="K29" s="55">
        <v>43840</v>
      </c>
      <c r="L29" s="55"/>
      <c r="M29" s="55"/>
      <c r="N29" s="55">
        <f t="shared" si="5"/>
        <v>43885</v>
      </c>
      <c r="P29" s="62">
        <f t="shared" si="2"/>
        <v>44120</v>
      </c>
      <c r="R29" s="62">
        <f t="shared" si="3"/>
        <v>44225</v>
      </c>
      <c r="T29" s="62">
        <f t="shared" si="4"/>
        <v>44505</v>
      </c>
    </row>
    <row r="30" spans="1:20" x14ac:dyDescent="0.3">
      <c r="A30" s="51">
        <v>2</v>
      </c>
      <c r="B30" s="54" t="s">
        <v>5</v>
      </c>
      <c r="C30" s="53" t="s">
        <v>6</v>
      </c>
      <c r="D30" s="53" t="s">
        <v>109</v>
      </c>
      <c r="E30" s="56">
        <v>38393</v>
      </c>
      <c r="F30" s="64">
        <v>5</v>
      </c>
      <c r="G30" s="64">
        <v>272</v>
      </c>
      <c r="H30" s="64"/>
      <c r="I30" s="63">
        <f t="shared" si="0"/>
        <v>0</v>
      </c>
      <c r="J30" s="58">
        <v>410</v>
      </c>
      <c r="K30" s="55">
        <v>43840</v>
      </c>
      <c r="L30" s="55"/>
      <c r="M30" s="55"/>
      <c r="N30" s="55">
        <f t="shared" si="5"/>
        <v>43885</v>
      </c>
      <c r="P30" s="62">
        <f t="shared" si="2"/>
        <v>44120</v>
      </c>
      <c r="R30" s="62">
        <f t="shared" si="3"/>
        <v>44225</v>
      </c>
      <c r="T30" s="62">
        <f t="shared" si="4"/>
        <v>44505</v>
      </c>
    </row>
    <row r="31" spans="1:20" x14ac:dyDescent="0.3">
      <c r="A31" s="51">
        <v>24</v>
      </c>
      <c r="B31" s="52" t="s">
        <v>49</v>
      </c>
      <c r="C31" s="53" t="s">
        <v>50</v>
      </c>
      <c r="D31" s="53" t="s">
        <v>109</v>
      </c>
      <c r="E31" s="56">
        <v>37029</v>
      </c>
      <c r="F31" s="64">
        <v>2</v>
      </c>
      <c r="G31" s="64">
        <v>290</v>
      </c>
      <c r="H31" s="64"/>
      <c r="I31" s="63">
        <f t="shared" si="0"/>
        <v>0</v>
      </c>
      <c r="J31" s="58">
        <v>802</v>
      </c>
      <c r="K31" s="55">
        <v>43840</v>
      </c>
      <c r="L31" s="55"/>
      <c r="M31" s="55"/>
      <c r="N31" s="55">
        <f t="shared" si="5"/>
        <v>43885</v>
      </c>
      <c r="P31" s="62">
        <f t="shared" si="2"/>
        <v>44120</v>
      </c>
      <c r="R31" s="62">
        <f t="shared" si="3"/>
        <v>44225</v>
      </c>
      <c r="T31" s="62">
        <f t="shared" si="4"/>
        <v>44505</v>
      </c>
    </row>
    <row r="32" spans="1:20" x14ac:dyDescent="0.3">
      <c r="A32" s="51">
        <v>1</v>
      </c>
      <c r="B32" s="52" t="s">
        <v>3</v>
      </c>
      <c r="C32" s="53" t="s">
        <v>4</v>
      </c>
      <c r="D32" s="53" t="s">
        <v>105</v>
      </c>
      <c r="E32" s="56">
        <v>41524</v>
      </c>
      <c r="F32" s="64">
        <v>1</v>
      </c>
      <c r="G32" s="64">
        <v>238</v>
      </c>
      <c r="H32" s="64"/>
      <c r="I32" s="63">
        <f t="shared" si="0"/>
        <v>0</v>
      </c>
      <c r="J32" s="58">
        <v>1222</v>
      </c>
      <c r="K32" s="55">
        <v>43871</v>
      </c>
      <c r="L32" s="55"/>
      <c r="M32" s="55"/>
      <c r="N32" s="55">
        <f t="shared" si="5"/>
        <v>43916</v>
      </c>
      <c r="P32" s="62">
        <f t="shared" si="2"/>
        <v>44151</v>
      </c>
      <c r="R32" s="62">
        <f t="shared" si="3"/>
        <v>44256</v>
      </c>
      <c r="T32" s="62">
        <f t="shared" si="4"/>
        <v>44536</v>
      </c>
    </row>
    <row r="33" spans="1:20" x14ac:dyDescent="0.3">
      <c r="A33" s="51">
        <v>21</v>
      </c>
      <c r="B33" s="52" t="s">
        <v>43</v>
      </c>
      <c r="C33" s="53" t="s">
        <v>44</v>
      </c>
      <c r="D33" s="53" t="s">
        <v>109</v>
      </c>
      <c r="E33" s="56">
        <v>40863</v>
      </c>
      <c r="F33" s="64">
        <v>2</v>
      </c>
      <c r="G33" s="64">
        <v>0</v>
      </c>
      <c r="H33" s="64"/>
      <c r="I33" s="63" t="e">
        <f t="shared" si="0"/>
        <v>#DIV/0!</v>
      </c>
      <c r="J33" s="58">
        <v>468</v>
      </c>
      <c r="K33" s="55">
        <v>43871</v>
      </c>
      <c r="L33" s="55"/>
      <c r="M33" s="55"/>
      <c r="N33" s="55">
        <f t="shared" si="5"/>
        <v>43916</v>
      </c>
      <c r="P33" s="62">
        <f t="shared" si="2"/>
        <v>44151</v>
      </c>
      <c r="R33" s="62">
        <f t="shared" si="3"/>
        <v>44256</v>
      </c>
      <c r="T33" s="62">
        <f t="shared" si="4"/>
        <v>44536</v>
      </c>
    </row>
    <row r="34" spans="1:20" x14ac:dyDescent="0.3">
      <c r="A34" s="51">
        <v>25</v>
      </c>
      <c r="B34" s="52" t="s">
        <v>51</v>
      </c>
      <c r="C34" s="53" t="s">
        <v>107</v>
      </c>
      <c r="D34" s="53" t="s">
        <v>108</v>
      </c>
      <c r="E34" s="56">
        <v>39464</v>
      </c>
      <c r="F34" s="64">
        <v>5</v>
      </c>
      <c r="G34" s="64">
        <v>304</v>
      </c>
      <c r="H34" s="64"/>
      <c r="I34" s="63">
        <f t="shared" si="0"/>
        <v>0</v>
      </c>
      <c r="J34" s="58">
        <v>287</v>
      </c>
      <c r="K34" s="55">
        <v>43897</v>
      </c>
      <c r="L34" s="55"/>
      <c r="M34" s="55"/>
      <c r="N34" s="55">
        <f t="shared" si="5"/>
        <v>43942</v>
      </c>
      <c r="P34" s="62">
        <f t="shared" si="2"/>
        <v>44177</v>
      </c>
      <c r="R34" s="62">
        <f t="shared" si="3"/>
        <v>44282</v>
      </c>
      <c r="T34" s="62">
        <f t="shared" si="4"/>
        <v>44562</v>
      </c>
    </row>
    <row r="35" spans="1:20" x14ac:dyDescent="0.3">
      <c r="A35" s="51">
        <v>13</v>
      </c>
      <c r="B35" s="52" t="s">
        <v>27</v>
      </c>
      <c r="C35" s="53" t="s">
        <v>28</v>
      </c>
      <c r="D35" s="53" t="s">
        <v>109</v>
      </c>
      <c r="E35" s="56">
        <v>41526</v>
      </c>
      <c r="F35" s="64">
        <v>1</v>
      </c>
      <c r="G35" s="64">
        <v>340</v>
      </c>
      <c r="H35" s="64"/>
      <c r="I35" s="63">
        <f t="shared" si="0"/>
        <v>0</v>
      </c>
      <c r="J35" s="58">
        <v>1659</v>
      </c>
      <c r="K35" s="55">
        <v>43900</v>
      </c>
      <c r="L35" s="55"/>
      <c r="M35" s="55"/>
      <c r="N35" s="55">
        <f t="shared" si="5"/>
        <v>43945</v>
      </c>
      <c r="P35" s="62">
        <f t="shared" si="2"/>
        <v>44180</v>
      </c>
      <c r="R35" s="62">
        <f t="shared" si="3"/>
        <v>44285</v>
      </c>
      <c r="T35" s="62">
        <f t="shared" si="4"/>
        <v>44565</v>
      </c>
    </row>
    <row r="36" spans="1:20" x14ac:dyDescent="0.3">
      <c r="A36" s="51">
        <v>33</v>
      </c>
      <c r="B36" s="52" t="s">
        <v>65</v>
      </c>
      <c r="C36" s="53" t="s">
        <v>66</v>
      </c>
      <c r="D36" s="53" t="s">
        <v>105</v>
      </c>
      <c r="E36" s="56">
        <v>39323</v>
      </c>
      <c r="F36" s="64">
        <v>6</v>
      </c>
      <c r="G36" s="64">
        <v>213</v>
      </c>
      <c r="H36" s="64"/>
      <c r="I36" s="63">
        <f t="shared" si="0"/>
        <v>0</v>
      </c>
      <c r="J36" s="58">
        <v>325</v>
      </c>
      <c r="K36" s="55">
        <v>43961</v>
      </c>
      <c r="L36" s="55"/>
      <c r="M36" s="55"/>
      <c r="N36" s="55">
        <f t="shared" si="5"/>
        <v>44006</v>
      </c>
      <c r="P36" s="62">
        <f t="shared" si="2"/>
        <v>44241</v>
      </c>
      <c r="R36" s="62">
        <f t="shared" si="3"/>
        <v>44346</v>
      </c>
      <c r="T36" s="62">
        <f t="shared" si="4"/>
        <v>44626</v>
      </c>
    </row>
    <row r="37" spans="1:20" x14ac:dyDescent="0.3">
      <c r="A37" s="51">
        <v>35</v>
      </c>
      <c r="B37" s="52" t="s">
        <v>69</v>
      </c>
      <c r="C37" s="53" t="s">
        <v>70</v>
      </c>
      <c r="D37" s="53" t="s">
        <v>105</v>
      </c>
      <c r="E37" s="56">
        <v>41554</v>
      </c>
      <c r="F37" s="64">
        <v>1</v>
      </c>
      <c r="G37" s="64">
        <v>202</v>
      </c>
      <c r="H37" s="64"/>
      <c r="I37" s="63">
        <f t="shared" si="0"/>
        <v>0</v>
      </c>
      <c r="J37" s="58">
        <v>2102</v>
      </c>
      <c r="K37" s="55">
        <v>44050</v>
      </c>
      <c r="L37" s="55"/>
      <c r="M37" s="55"/>
      <c r="N37" s="55">
        <f t="shared" si="5"/>
        <v>44095</v>
      </c>
      <c r="P37" s="62">
        <f t="shared" si="2"/>
        <v>44330</v>
      </c>
      <c r="R37" s="62">
        <f t="shared" si="3"/>
        <v>44435</v>
      </c>
      <c r="T37" s="62">
        <f t="shared" si="4"/>
        <v>44715</v>
      </c>
    </row>
    <row r="38" spans="1:20" x14ac:dyDescent="0.3">
      <c r="A38" s="51">
        <v>23</v>
      </c>
      <c r="B38" s="52" t="s">
        <v>47</v>
      </c>
      <c r="C38" s="53" t="s">
        <v>48</v>
      </c>
      <c r="D38" s="53" t="s">
        <v>109</v>
      </c>
      <c r="E38" s="56">
        <v>41156</v>
      </c>
      <c r="F38" s="64">
        <v>2</v>
      </c>
      <c r="G38" s="64">
        <v>370</v>
      </c>
      <c r="H38" s="64">
        <v>2163</v>
      </c>
      <c r="I38" s="63">
        <f t="shared" si="0"/>
        <v>5.845945945945946</v>
      </c>
      <c r="J38" s="58">
        <v>660</v>
      </c>
      <c r="K38" s="55">
        <v>44186</v>
      </c>
      <c r="L38" s="55"/>
      <c r="M38" s="55"/>
      <c r="N38" s="55">
        <f t="shared" si="5"/>
        <v>44231</v>
      </c>
      <c r="P38" s="62">
        <f t="shared" si="2"/>
        <v>44466</v>
      </c>
      <c r="R38" s="62">
        <f t="shared" si="3"/>
        <v>44571</v>
      </c>
      <c r="T38" s="62">
        <f t="shared" si="4"/>
        <v>44851</v>
      </c>
    </row>
    <row r="39" spans="1:20" x14ac:dyDescent="0.3">
      <c r="A39" s="51">
        <v>34</v>
      </c>
      <c r="B39" s="52" t="s">
        <v>67</v>
      </c>
      <c r="C39" s="53" t="s">
        <v>68</v>
      </c>
      <c r="D39" s="53" t="s">
        <v>108</v>
      </c>
      <c r="E39" s="56">
        <v>40765</v>
      </c>
      <c r="F39" s="64">
        <v>5</v>
      </c>
      <c r="G39" s="64"/>
      <c r="H39" s="64"/>
      <c r="I39" s="63" t="e">
        <f t="shared" si="0"/>
        <v>#DIV/0!</v>
      </c>
      <c r="J39" s="58">
        <v>694</v>
      </c>
      <c r="K39" s="55"/>
      <c r="L39" s="55"/>
      <c r="M39" s="55"/>
      <c r="N39" s="55">
        <v>43776</v>
      </c>
      <c r="P39" s="65">
        <f>N39+235</f>
        <v>44011</v>
      </c>
      <c r="R39" s="62">
        <f>N39+340</f>
        <v>44116</v>
      </c>
      <c r="T39" s="62">
        <f t="shared" si="4"/>
        <v>44396</v>
      </c>
    </row>
    <row r="40" spans="1:20" x14ac:dyDescent="0.3">
      <c r="A40" s="51">
        <v>43</v>
      </c>
      <c r="B40" s="52" t="s">
        <v>87</v>
      </c>
      <c r="C40" s="53" t="s">
        <v>90</v>
      </c>
      <c r="D40" s="53" t="s">
        <v>110</v>
      </c>
      <c r="E40" s="56">
        <v>41035</v>
      </c>
      <c r="F40" s="64">
        <v>4</v>
      </c>
      <c r="G40" s="64">
        <v>0</v>
      </c>
      <c r="H40" s="64"/>
      <c r="I40" s="63" t="e">
        <f t="shared" si="0"/>
        <v>#DIV/0!</v>
      </c>
      <c r="J40" s="58">
        <v>0</v>
      </c>
      <c r="K40" s="55"/>
      <c r="L40" s="55"/>
      <c r="M40" s="55"/>
      <c r="N40" s="55">
        <v>43776</v>
      </c>
      <c r="P40" s="65">
        <f t="shared" ref="P40:P45" si="6">N40+235</f>
        <v>44011</v>
      </c>
      <c r="R40" s="62">
        <f t="shared" ref="R40:R45" si="7">N40+340</f>
        <v>44116</v>
      </c>
      <c r="T40" s="62">
        <f t="shared" si="4"/>
        <v>44396</v>
      </c>
    </row>
    <row r="41" spans="1:20" x14ac:dyDescent="0.3">
      <c r="A41" s="51">
        <v>38</v>
      </c>
      <c r="B41" s="52" t="s">
        <v>77</v>
      </c>
      <c r="C41" s="53" t="s">
        <v>78</v>
      </c>
      <c r="D41" s="53" t="s">
        <v>109</v>
      </c>
      <c r="E41" s="56">
        <v>41007</v>
      </c>
      <c r="F41" s="64">
        <v>5</v>
      </c>
      <c r="G41" s="64"/>
      <c r="H41" s="64"/>
      <c r="I41" s="63" t="e">
        <f t="shared" si="0"/>
        <v>#DIV/0!</v>
      </c>
      <c r="J41" s="58">
        <v>447</v>
      </c>
      <c r="K41" s="55"/>
      <c r="L41" s="55"/>
      <c r="M41" s="55"/>
      <c r="N41" s="55">
        <v>43776</v>
      </c>
      <c r="P41" s="65">
        <f t="shared" si="6"/>
        <v>44011</v>
      </c>
      <c r="R41" s="62">
        <f t="shared" si="7"/>
        <v>44116</v>
      </c>
      <c r="T41" s="62">
        <f t="shared" si="4"/>
        <v>44396</v>
      </c>
    </row>
    <row r="42" spans="1:20" x14ac:dyDescent="0.3">
      <c r="A42" s="51">
        <v>37</v>
      </c>
      <c r="B42" s="52" t="s">
        <v>75</v>
      </c>
      <c r="C42" s="53" t="s">
        <v>76</v>
      </c>
      <c r="D42" s="53" t="s">
        <v>109</v>
      </c>
      <c r="E42" s="56">
        <v>41092</v>
      </c>
      <c r="F42" s="64">
        <v>3</v>
      </c>
      <c r="G42" s="64"/>
      <c r="H42" s="64"/>
      <c r="I42" s="63" t="e">
        <f t="shared" si="0"/>
        <v>#DIV/0!</v>
      </c>
      <c r="J42" s="58">
        <v>387</v>
      </c>
      <c r="K42" s="55"/>
      <c r="L42" s="55"/>
      <c r="M42" s="55"/>
      <c r="N42" s="55">
        <v>43776</v>
      </c>
      <c r="P42" s="65">
        <f t="shared" si="6"/>
        <v>44011</v>
      </c>
      <c r="R42" s="62">
        <f t="shared" si="7"/>
        <v>44116</v>
      </c>
      <c r="T42" s="62">
        <f t="shared" si="4"/>
        <v>44396</v>
      </c>
    </row>
    <row r="43" spans="1:20" x14ac:dyDescent="0.3">
      <c r="A43" s="51">
        <v>41</v>
      </c>
      <c r="B43" s="52" t="s">
        <v>83</v>
      </c>
      <c r="C43" s="53" t="s">
        <v>84</v>
      </c>
      <c r="D43" s="53" t="s">
        <v>108</v>
      </c>
      <c r="E43" s="56">
        <v>41246</v>
      </c>
      <c r="F43" s="64">
        <v>2</v>
      </c>
      <c r="G43" s="64"/>
      <c r="H43" s="64"/>
      <c r="I43" s="63" t="e">
        <f t="shared" si="0"/>
        <v>#DIV/0!</v>
      </c>
      <c r="J43" s="58">
        <v>720</v>
      </c>
      <c r="K43" s="55"/>
      <c r="L43" s="55"/>
      <c r="M43" s="55"/>
      <c r="N43" s="55">
        <v>43776</v>
      </c>
      <c r="P43" s="65">
        <f t="shared" si="6"/>
        <v>44011</v>
      </c>
      <c r="R43" s="62">
        <f t="shared" si="7"/>
        <v>44116</v>
      </c>
      <c r="T43" s="62">
        <f t="shared" si="4"/>
        <v>44396</v>
      </c>
    </row>
    <row r="44" spans="1:20" x14ac:dyDescent="0.3">
      <c r="A44" s="51">
        <v>6</v>
      </c>
      <c r="B44" s="52" t="s">
        <v>14</v>
      </c>
      <c r="C44" s="53" t="s">
        <v>13</v>
      </c>
      <c r="D44" s="53" t="s">
        <v>109</v>
      </c>
      <c r="E44" s="56">
        <v>39368</v>
      </c>
      <c r="F44" s="64">
        <v>5</v>
      </c>
      <c r="G44" s="64">
        <v>242</v>
      </c>
      <c r="H44" s="64"/>
      <c r="I44" s="63">
        <f t="shared" si="0"/>
        <v>0</v>
      </c>
      <c r="J44" s="58">
        <v>326</v>
      </c>
      <c r="K44" s="55"/>
      <c r="L44" s="55"/>
      <c r="M44" s="55"/>
      <c r="N44" s="55">
        <v>43776</v>
      </c>
      <c r="P44" s="65">
        <f t="shared" si="6"/>
        <v>44011</v>
      </c>
      <c r="R44" s="62">
        <f t="shared" si="7"/>
        <v>44116</v>
      </c>
      <c r="T44" s="62">
        <f t="shared" si="4"/>
        <v>44396</v>
      </c>
    </row>
    <row r="45" spans="1:20" x14ac:dyDescent="0.3">
      <c r="A45" s="51">
        <v>40</v>
      </c>
      <c r="B45" s="52" t="s">
        <v>81</v>
      </c>
      <c r="C45" s="53" t="s">
        <v>82</v>
      </c>
      <c r="D45" s="53" t="s">
        <v>109</v>
      </c>
      <c r="E45" s="56">
        <v>40230</v>
      </c>
      <c r="F45" s="64">
        <v>4</v>
      </c>
      <c r="G45" s="64"/>
      <c r="H45" s="64"/>
      <c r="I45" s="63" t="e">
        <f t="shared" si="0"/>
        <v>#DIV/0!</v>
      </c>
      <c r="J45" s="58">
        <v>585</v>
      </c>
      <c r="K45" s="55"/>
      <c r="L45" s="55"/>
      <c r="M45" s="55"/>
      <c r="N45" s="55">
        <v>43776</v>
      </c>
      <c r="P45" s="65">
        <f t="shared" si="6"/>
        <v>44011</v>
      </c>
      <c r="R45" s="62">
        <f t="shared" si="7"/>
        <v>44116</v>
      </c>
      <c r="T45" s="62">
        <f t="shared" si="4"/>
        <v>44396</v>
      </c>
    </row>
    <row r="46" spans="1:20" x14ac:dyDescent="0.3">
      <c r="A46" s="51">
        <v>42</v>
      </c>
      <c r="B46" s="52" t="s">
        <v>85</v>
      </c>
      <c r="C46" s="53" t="s">
        <v>86</v>
      </c>
      <c r="D46" s="53"/>
      <c r="E46" s="56"/>
      <c r="F46" s="64"/>
      <c r="G46" s="64"/>
      <c r="H46" s="64"/>
      <c r="I46" s="63" t="e">
        <f t="shared" si="0"/>
        <v>#DIV/0!</v>
      </c>
      <c r="J46" s="58"/>
      <c r="K46" s="55"/>
      <c r="L46" s="55"/>
      <c r="M46" s="55" t="s">
        <v>111</v>
      </c>
      <c r="N46" s="55"/>
    </row>
    <row r="47" spans="1:20" x14ac:dyDescent="0.3">
      <c r="A47" s="51">
        <v>39</v>
      </c>
      <c r="B47" s="52" t="s">
        <v>79</v>
      </c>
      <c r="C47" s="53" t="s">
        <v>80</v>
      </c>
      <c r="D47" s="53" t="s">
        <v>105</v>
      </c>
      <c r="E47" s="56">
        <v>39290</v>
      </c>
      <c r="F47" s="64">
        <v>6</v>
      </c>
      <c r="G47" s="64"/>
      <c r="H47" s="64"/>
      <c r="I47" s="63" t="e">
        <f t="shared" si="0"/>
        <v>#DIV/0!</v>
      </c>
      <c r="J47" s="58">
        <v>558</v>
      </c>
      <c r="K47" s="55"/>
      <c r="L47" s="55"/>
      <c r="M47" s="55"/>
      <c r="N47" s="55"/>
    </row>
    <row r="48" spans="1:20" x14ac:dyDescent="0.3">
      <c r="A48" s="51">
        <v>46</v>
      </c>
      <c r="B48" s="50"/>
      <c r="C48" s="50"/>
      <c r="D48" s="50"/>
      <c r="E48" s="57"/>
      <c r="F48" s="50"/>
      <c r="G48" s="50"/>
      <c r="H48" s="50"/>
      <c r="I48" s="50"/>
      <c r="J48" s="59"/>
      <c r="K48" s="55"/>
      <c r="L48" s="55"/>
      <c r="M48" s="55"/>
      <c r="N48" s="55"/>
    </row>
    <row r="49" spans="1:14" x14ac:dyDescent="0.3">
      <c r="A49" s="51">
        <v>47</v>
      </c>
      <c r="B49" s="50"/>
      <c r="C49" s="50"/>
      <c r="D49" s="50"/>
      <c r="E49" s="57"/>
      <c r="F49" s="50"/>
      <c r="G49" s="50"/>
      <c r="H49" s="50"/>
      <c r="I49" s="50"/>
      <c r="J49" s="59"/>
      <c r="K49" s="55"/>
      <c r="L49" s="55"/>
      <c r="M49" s="55"/>
      <c r="N49" s="55"/>
    </row>
    <row r="50" spans="1:14" x14ac:dyDescent="0.3">
      <c r="A50" s="51">
        <v>48</v>
      </c>
      <c r="B50" s="50"/>
      <c r="C50" s="50"/>
      <c r="D50" s="50"/>
      <c r="E50" s="57"/>
      <c r="F50" s="50"/>
      <c r="G50" s="50"/>
      <c r="H50" s="50"/>
      <c r="I50" s="50"/>
      <c r="J50" s="59"/>
      <c r="K50" s="55"/>
      <c r="L50" s="55"/>
      <c r="M50" s="55"/>
      <c r="N50" s="55"/>
    </row>
    <row r="51" spans="1:14" x14ac:dyDescent="0.3">
      <c r="A51" s="51">
        <v>49</v>
      </c>
      <c r="B51" s="50"/>
      <c r="C51" s="50"/>
      <c r="D51" s="50"/>
      <c r="E51" s="57"/>
      <c r="F51" s="50"/>
      <c r="G51" s="50"/>
      <c r="H51" s="50"/>
      <c r="I51" s="50"/>
      <c r="J51" s="59"/>
      <c r="K51" s="55"/>
      <c r="L51" s="55"/>
      <c r="M51" s="55"/>
      <c r="N51" s="55"/>
    </row>
    <row r="52" spans="1:14" x14ac:dyDescent="0.3">
      <c r="A52" s="51">
        <v>50</v>
      </c>
      <c r="B52" s="50"/>
      <c r="C52" s="50"/>
      <c r="D52" s="50"/>
      <c r="E52" s="57"/>
      <c r="F52" s="50"/>
      <c r="G52" s="50"/>
      <c r="H52" s="50"/>
      <c r="I52" s="50"/>
      <c r="J52" s="59"/>
      <c r="K52" s="55"/>
      <c r="L52" s="55"/>
      <c r="M52" s="55"/>
      <c r="N52" s="55"/>
    </row>
  </sheetData>
  <sortState xmlns:xlrd2="http://schemas.microsoft.com/office/spreadsheetml/2017/richdata2" ref="M39:N47">
    <sortCondition ref="N39"/>
  </sortState>
  <pageMargins left="0.7" right="0.7" top="0.75" bottom="0.75" header="0.3" footer="0.3"/>
  <pageSetup orientation="portrait" r:id="rId1"/>
  <ignoredErrors>
    <ignoredError sqref="B3:B4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15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5" sqref="A5:XFD25"/>
    </sheetView>
  </sheetViews>
  <sheetFormatPr defaultRowHeight="14.4" x14ac:dyDescent="0.3"/>
  <cols>
    <col min="2" max="2" width="12.33203125" style="6" customWidth="1"/>
    <col min="3" max="4" width="12.109375" style="6" customWidth="1"/>
    <col min="5" max="5" width="13.5546875" style="6" bestFit="1" customWidth="1"/>
    <col min="6" max="6" width="12.109375" style="6" customWidth="1"/>
    <col min="7" max="7" width="15.5546875" style="6" bestFit="1" customWidth="1"/>
    <col min="8" max="9" width="15.5546875" style="6" customWidth="1"/>
    <col min="10" max="10" width="14.44140625" style="6" bestFit="1" customWidth="1"/>
    <col min="11" max="11" width="11.44140625" bestFit="1" customWidth="1"/>
    <col min="12" max="12" width="10.44140625" bestFit="1" customWidth="1"/>
    <col min="13" max="13" width="9.33203125" customWidth="1"/>
    <col min="14" max="14" width="10.44140625" bestFit="1" customWidth="1"/>
    <col min="16" max="16" width="10.44140625" bestFit="1" customWidth="1"/>
    <col min="18" max="18" width="10.44140625" bestFit="1" customWidth="1"/>
    <col min="20" max="20" width="10.44140625" bestFit="1" customWidth="1"/>
  </cols>
  <sheetData>
    <row r="2" spans="1:20" x14ac:dyDescent="0.3">
      <c r="A2" s="61" t="s">
        <v>0</v>
      </c>
      <c r="B2" s="61" t="s">
        <v>1</v>
      </c>
      <c r="C2" s="61" t="s">
        <v>2</v>
      </c>
      <c r="D2" s="61" t="s">
        <v>104</v>
      </c>
      <c r="E2" s="61" t="s">
        <v>100</v>
      </c>
      <c r="F2" s="61" t="s">
        <v>101</v>
      </c>
      <c r="G2" s="61" t="s">
        <v>102</v>
      </c>
      <c r="H2" s="61" t="s">
        <v>116</v>
      </c>
      <c r="I2" s="61" t="s">
        <v>117</v>
      </c>
      <c r="J2" s="61" t="s">
        <v>103</v>
      </c>
      <c r="K2" s="61" t="s">
        <v>97</v>
      </c>
      <c r="L2" s="61" t="s">
        <v>98</v>
      </c>
      <c r="M2" s="61" t="s">
        <v>106</v>
      </c>
      <c r="N2" s="61" t="s">
        <v>99</v>
      </c>
      <c r="P2" s="66" t="s">
        <v>118</v>
      </c>
      <c r="R2" s="67" t="s">
        <v>119</v>
      </c>
    </row>
    <row r="3" spans="1:20" x14ac:dyDescent="0.3">
      <c r="A3" s="51">
        <v>1</v>
      </c>
      <c r="B3" s="52" t="s">
        <v>88</v>
      </c>
      <c r="C3" s="53" t="s">
        <v>89</v>
      </c>
      <c r="D3" s="60" t="s">
        <v>105</v>
      </c>
      <c r="E3" s="56">
        <v>41072</v>
      </c>
      <c r="F3" s="64">
        <v>5</v>
      </c>
      <c r="G3" s="64">
        <v>375</v>
      </c>
      <c r="H3" s="64">
        <v>2446.5</v>
      </c>
      <c r="I3" s="63">
        <f t="shared" ref="I3:I47" si="0">H3/G3</f>
        <v>6.524</v>
      </c>
      <c r="J3" s="58">
        <v>668</v>
      </c>
      <c r="K3" s="55">
        <v>43783</v>
      </c>
      <c r="L3" s="55"/>
      <c r="M3" s="55"/>
      <c r="N3" s="55">
        <f t="shared" ref="N3:N38" si="1">K3+60</f>
        <v>43843</v>
      </c>
      <c r="P3" s="62">
        <f>K3+350</f>
        <v>44133</v>
      </c>
      <c r="R3" s="62">
        <f>K3+90+310</f>
        <v>44183</v>
      </c>
      <c r="T3" s="62"/>
    </row>
    <row r="4" spans="1:20" x14ac:dyDescent="0.3">
      <c r="A4" s="51">
        <v>2</v>
      </c>
      <c r="B4" s="52" t="s">
        <v>91</v>
      </c>
      <c r="C4" s="53" t="s">
        <v>92</v>
      </c>
      <c r="D4" s="53" t="s">
        <v>109</v>
      </c>
      <c r="E4" s="56">
        <v>39623</v>
      </c>
      <c r="F4" s="64">
        <v>7</v>
      </c>
      <c r="G4" s="64">
        <v>328</v>
      </c>
      <c r="H4" s="64">
        <v>1804</v>
      </c>
      <c r="I4" s="63">
        <f t="shared" si="0"/>
        <v>5.5</v>
      </c>
      <c r="J4" s="58">
        <v>459</v>
      </c>
      <c r="K4" s="55">
        <v>43797</v>
      </c>
      <c r="L4" s="55"/>
      <c r="M4" s="55" t="s">
        <v>111</v>
      </c>
      <c r="N4" s="55">
        <f t="shared" si="1"/>
        <v>43857</v>
      </c>
      <c r="P4" s="62">
        <f t="shared" ref="P4:P47" si="2">K4+350</f>
        <v>44147</v>
      </c>
      <c r="R4" s="62">
        <f t="shared" ref="R4:R39" si="3">K4+90+310</f>
        <v>44197</v>
      </c>
      <c r="T4" s="62"/>
    </row>
    <row r="5" spans="1:20" x14ac:dyDescent="0.3">
      <c r="A5" s="51">
        <v>3</v>
      </c>
      <c r="B5" s="52" t="s">
        <v>19</v>
      </c>
      <c r="C5" s="53" t="s">
        <v>20</v>
      </c>
      <c r="D5" s="53" t="s">
        <v>109</v>
      </c>
      <c r="E5" s="56">
        <v>41010</v>
      </c>
      <c r="F5" s="64">
        <v>3</v>
      </c>
      <c r="G5" s="64">
        <v>302</v>
      </c>
      <c r="H5" s="64">
        <v>2347</v>
      </c>
      <c r="I5" s="63">
        <f t="shared" si="0"/>
        <v>7.7715231788079473</v>
      </c>
      <c r="J5" s="58">
        <v>541</v>
      </c>
      <c r="K5" s="55">
        <v>43804</v>
      </c>
      <c r="L5" s="55"/>
      <c r="M5" s="55"/>
      <c r="N5" s="55">
        <f t="shared" si="1"/>
        <v>43864</v>
      </c>
      <c r="P5" s="62">
        <f t="shared" si="2"/>
        <v>44154</v>
      </c>
      <c r="R5" s="62">
        <f t="shared" si="3"/>
        <v>44204</v>
      </c>
      <c r="T5" s="62"/>
    </row>
    <row r="6" spans="1:20" x14ac:dyDescent="0.3">
      <c r="A6" s="51">
        <v>4</v>
      </c>
      <c r="B6" s="52" t="s">
        <v>21</v>
      </c>
      <c r="C6" s="53" t="s">
        <v>22</v>
      </c>
      <c r="D6" s="53" t="s">
        <v>109</v>
      </c>
      <c r="E6" s="56">
        <v>41477</v>
      </c>
      <c r="F6" s="64">
        <v>2</v>
      </c>
      <c r="G6" s="64">
        <v>375</v>
      </c>
      <c r="H6" s="64">
        <v>2687</v>
      </c>
      <c r="I6" s="63">
        <f t="shared" si="0"/>
        <v>7.1653333333333338</v>
      </c>
      <c r="J6" s="58">
        <v>665</v>
      </c>
      <c r="K6" s="55">
        <v>43804</v>
      </c>
      <c r="L6" s="55"/>
      <c r="M6" s="55"/>
      <c r="N6" s="55">
        <f t="shared" si="1"/>
        <v>43864</v>
      </c>
      <c r="P6" s="62">
        <f t="shared" si="2"/>
        <v>44154</v>
      </c>
      <c r="R6" s="62">
        <f t="shared" si="3"/>
        <v>44204</v>
      </c>
      <c r="T6" s="62"/>
    </row>
    <row r="7" spans="1:20" x14ac:dyDescent="0.3">
      <c r="A7" s="51">
        <v>5</v>
      </c>
      <c r="B7" s="52" t="s">
        <v>9</v>
      </c>
      <c r="C7" s="53" t="s">
        <v>10</v>
      </c>
      <c r="D7" s="53" t="s">
        <v>105</v>
      </c>
      <c r="E7" s="56">
        <v>38545</v>
      </c>
      <c r="F7" s="64">
        <v>7</v>
      </c>
      <c r="G7" s="64">
        <v>338</v>
      </c>
      <c r="H7" s="64">
        <v>2366</v>
      </c>
      <c r="I7" s="63">
        <f t="shared" si="0"/>
        <v>7</v>
      </c>
      <c r="J7" s="58">
        <v>548</v>
      </c>
      <c r="K7" s="55">
        <v>43805</v>
      </c>
      <c r="L7" s="55"/>
      <c r="M7" s="55" t="s">
        <v>111</v>
      </c>
      <c r="N7" s="55">
        <f t="shared" si="1"/>
        <v>43865</v>
      </c>
      <c r="P7" s="62">
        <f t="shared" si="2"/>
        <v>44155</v>
      </c>
      <c r="R7" s="62">
        <f t="shared" si="3"/>
        <v>44205</v>
      </c>
      <c r="T7" s="62"/>
    </row>
    <row r="8" spans="1:20" x14ac:dyDescent="0.3">
      <c r="A8" s="51">
        <v>6</v>
      </c>
      <c r="B8" s="52" t="s">
        <v>17</v>
      </c>
      <c r="C8" s="53" t="s">
        <v>18</v>
      </c>
      <c r="D8" s="53" t="s">
        <v>113</v>
      </c>
      <c r="E8" s="56">
        <v>41193</v>
      </c>
      <c r="F8" s="64">
        <v>7</v>
      </c>
      <c r="G8" s="64">
        <v>352</v>
      </c>
      <c r="H8" s="64">
        <v>2640</v>
      </c>
      <c r="I8" s="63">
        <f t="shared" si="0"/>
        <v>7.5</v>
      </c>
      <c r="J8" s="58">
        <v>640</v>
      </c>
      <c r="K8" s="55">
        <v>43806</v>
      </c>
      <c r="L8" s="55"/>
      <c r="M8" s="55"/>
      <c r="N8" s="55">
        <f t="shared" si="1"/>
        <v>43866</v>
      </c>
      <c r="P8" s="62">
        <f t="shared" si="2"/>
        <v>44156</v>
      </c>
      <c r="R8" s="62">
        <f t="shared" si="3"/>
        <v>44206</v>
      </c>
      <c r="T8" s="62"/>
    </row>
    <row r="9" spans="1:20" x14ac:dyDescent="0.3">
      <c r="A9" s="51">
        <v>7</v>
      </c>
      <c r="B9" s="52" t="s">
        <v>24</v>
      </c>
      <c r="C9" s="53" t="s">
        <v>25</v>
      </c>
      <c r="D9" s="53" t="s">
        <v>105</v>
      </c>
      <c r="E9" s="56">
        <v>41496</v>
      </c>
      <c r="F9" s="64">
        <v>2</v>
      </c>
      <c r="G9" s="64">
        <v>373</v>
      </c>
      <c r="H9" s="64">
        <v>2400</v>
      </c>
      <c r="I9" s="63">
        <f t="shared" si="0"/>
        <v>6.4343163538873993</v>
      </c>
      <c r="J9" s="58">
        <v>619</v>
      </c>
      <c r="K9" s="55">
        <v>43806</v>
      </c>
      <c r="L9" s="55"/>
      <c r="M9" s="55"/>
      <c r="N9" s="55">
        <f t="shared" si="1"/>
        <v>43866</v>
      </c>
      <c r="P9" s="62">
        <f t="shared" si="2"/>
        <v>44156</v>
      </c>
      <c r="R9" s="62">
        <f t="shared" si="3"/>
        <v>44206</v>
      </c>
      <c r="T9" s="62"/>
    </row>
    <row r="10" spans="1:20" x14ac:dyDescent="0.3">
      <c r="A10" s="51">
        <v>8</v>
      </c>
      <c r="B10" s="52" t="s">
        <v>41</v>
      </c>
      <c r="C10" s="53" t="s">
        <v>42</v>
      </c>
      <c r="D10" s="53" t="s">
        <v>105</v>
      </c>
      <c r="E10" s="56">
        <v>41496</v>
      </c>
      <c r="F10" s="64">
        <v>2</v>
      </c>
      <c r="G10" s="64">
        <v>386</v>
      </c>
      <c r="H10" s="64">
        <v>2387</v>
      </c>
      <c r="I10" s="63">
        <f t="shared" si="0"/>
        <v>6.1839378238341967</v>
      </c>
      <c r="J10" s="58">
        <v>666</v>
      </c>
      <c r="K10" s="55">
        <v>43807</v>
      </c>
      <c r="L10" s="55"/>
      <c r="M10" s="55"/>
      <c r="N10" s="55">
        <f t="shared" si="1"/>
        <v>43867</v>
      </c>
      <c r="P10" s="62">
        <f t="shared" si="2"/>
        <v>44157</v>
      </c>
      <c r="R10" s="62">
        <f t="shared" si="3"/>
        <v>44207</v>
      </c>
      <c r="T10" s="62"/>
    </row>
    <row r="11" spans="1:20" x14ac:dyDescent="0.3">
      <c r="A11" s="51">
        <v>9</v>
      </c>
      <c r="B11" s="52" t="s">
        <v>11</v>
      </c>
      <c r="C11" s="53" t="s">
        <v>12</v>
      </c>
      <c r="D11" s="53" t="s">
        <v>105</v>
      </c>
      <c r="E11" s="56">
        <v>39459</v>
      </c>
      <c r="F11" s="64">
        <v>5</v>
      </c>
      <c r="G11" s="64">
        <v>303</v>
      </c>
      <c r="H11" s="64">
        <v>1481</v>
      </c>
      <c r="I11" s="63">
        <f t="shared" si="0"/>
        <v>4.887788778877888</v>
      </c>
      <c r="J11" s="58">
        <v>970</v>
      </c>
      <c r="K11" s="55">
        <v>43807</v>
      </c>
      <c r="L11" s="55"/>
      <c r="M11" s="55"/>
      <c r="N11" s="55">
        <f t="shared" si="1"/>
        <v>43867</v>
      </c>
      <c r="P11" s="62">
        <f t="shared" si="2"/>
        <v>44157</v>
      </c>
      <c r="R11" s="62">
        <f t="shared" si="3"/>
        <v>44207</v>
      </c>
      <c r="T11" s="62"/>
    </row>
    <row r="12" spans="1:20" x14ac:dyDescent="0.3">
      <c r="A12" s="51">
        <v>10</v>
      </c>
      <c r="B12" s="52" t="s">
        <v>61</v>
      </c>
      <c r="C12" s="53" t="s">
        <v>62</v>
      </c>
      <c r="D12" s="53" t="s">
        <v>105</v>
      </c>
      <c r="E12" s="56">
        <v>40281</v>
      </c>
      <c r="F12" s="64">
        <v>6</v>
      </c>
      <c r="G12" s="64">
        <v>352</v>
      </c>
      <c r="H12" s="64">
        <v>2467</v>
      </c>
      <c r="I12" s="63">
        <f t="shared" si="0"/>
        <v>7.0085227272727275</v>
      </c>
      <c r="J12" s="58">
        <v>530</v>
      </c>
      <c r="K12" s="55">
        <v>43809</v>
      </c>
      <c r="L12" s="55"/>
      <c r="M12" s="55"/>
      <c r="N12" s="55">
        <f t="shared" si="1"/>
        <v>43869</v>
      </c>
      <c r="P12" s="62">
        <f t="shared" si="2"/>
        <v>44159</v>
      </c>
      <c r="R12" s="62">
        <f t="shared" si="3"/>
        <v>44209</v>
      </c>
      <c r="T12" s="62"/>
    </row>
    <row r="13" spans="1:20" x14ac:dyDescent="0.3">
      <c r="A13" s="51">
        <v>11</v>
      </c>
      <c r="B13" s="52" t="s">
        <v>57</v>
      </c>
      <c r="C13" s="53" t="s">
        <v>58</v>
      </c>
      <c r="D13" s="53" t="s">
        <v>109</v>
      </c>
      <c r="E13" s="56">
        <v>41247</v>
      </c>
      <c r="F13" s="64">
        <v>2</v>
      </c>
      <c r="G13" s="64">
        <v>310</v>
      </c>
      <c r="H13" s="64">
        <v>2046.5</v>
      </c>
      <c r="I13" s="63">
        <f t="shared" si="0"/>
        <v>6.6016129032258064</v>
      </c>
      <c r="J13" s="58">
        <v>632</v>
      </c>
      <c r="K13" s="55">
        <v>43810</v>
      </c>
      <c r="L13" s="55"/>
      <c r="M13" s="55"/>
      <c r="N13" s="55">
        <f t="shared" si="1"/>
        <v>43870</v>
      </c>
      <c r="P13" s="62">
        <f t="shared" si="2"/>
        <v>44160</v>
      </c>
      <c r="R13" s="62">
        <f t="shared" si="3"/>
        <v>44210</v>
      </c>
      <c r="T13" s="62"/>
    </row>
    <row r="14" spans="1:20" x14ac:dyDescent="0.3">
      <c r="A14" s="51">
        <v>12</v>
      </c>
      <c r="B14" s="52" t="s">
        <v>114</v>
      </c>
      <c r="C14" s="53" t="s">
        <v>115</v>
      </c>
      <c r="D14" s="53" t="s">
        <v>109</v>
      </c>
      <c r="E14" s="56">
        <v>41491</v>
      </c>
      <c r="F14" s="64">
        <v>3</v>
      </c>
      <c r="G14" s="64">
        <v>334</v>
      </c>
      <c r="H14" s="64">
        <v>2328</v>
      </c>
      <c r="I14" s="63">
        <f t="shared" si="0"/>
        <v>6.9700598802395213</v>
      </c>
      <c r="J14" s="58">
        <v>814</v>
      </c>
      <c r="K14" s="55">
        <v>43811</v>
      </c>
      <c r="L14" s="55"/>
      <c r="M14" s="55"/>
      <c r="N14" s="55">
        <f t="shared" si="1"/>
        <v>43871</v>
      </c>
      <c r="P14" s="62">
        <f t="shared" si="2"/>
        <v>44161</v>
      </c>
      <c r="R14" s="62">
        <f t="shared" si="3"/>
        <v>44211</v>
      </c>
      <c r="T14" s="62"/>
    </row>
    <row r="15" spans="1:20" x14ac:dyDescent="0.3">
      <c r="A15" s="51">
        <v>13</v>
      </c>
      <c r="B15" s="52" t="s">
        <v>63</v>
      </c>
      <c r="C15" s="53" t="s">
        <v>64</v>
      </c>
      <c r="D15" s="53" t="s">
        <v>109</v>
      </c>
      <c r="E15" s="56">
        <v>41183</v>
      </c>
      <c r="F15" s="64">
        <v>2</v>
      </c>
      <c r="G15" s="64">
        <v>334</v>
      </c>
      <c r="H15" s="64">
        <v>2185</v>
      </c>
      <c r="I15" s="63">
        <f t="shared" si="0"/>
        <v>6.5419161676646711</v>
      </c>
      <c r="J15" s="58">
        <v>633</v>
      </c>
      <c r="K15" s="55">
        <v>43811</v>
      </c>
      <c r="L15" s="55"/>
      <c r="M15" s="55"/>
      <c r="N15" s="55">
        <f t="shared" si="1"/>
        <v>43871</v>
      </c>
      <c r="P15" s="62">
        <f t="shared" si="2"/>
        <v>44161</v>
      </c>
      <c r="R15" s="62">
        <f t="shared" si="3"/>
        <v>44211</v>
      </c>
      <c r="T15" s="62"/>
    </row>
    <row r="16" spans="1:20" x14ac:dyDescent="0.3">
      <c r="A16" s="51">
        <v>14</v>
      </c>
      <c r="B16" s="52" t="s">
        <v>112</v>
      </c>
      <c r="C16" s="53" t="s">
        <v>46</v>
      </c>
      <c r="D16" s="53" t="s">
        <v>113</v>
      </c>
      <c r="E16" s="56">
        <v>40676</v>
      </c>
      <c r="F16" s="64">
        <v>6</v>
      </c>
      <c r="G16" s="64">
        <v>377</v>
      </c>
      <c r="H16" s="64">
        <v>2825</v>
      </c>
      <c r="I16" s="63">
        <f t="shared" si="0"/>
        <v>7.4933687002652523</v>
      </c>
      <c r="J16" s="58">
        <v>646</v>
      </c>
      <c r="K16" s="55">
        <v>43812</v>
      </c>
      <c r="L16" s="55"/>
      <c r="M16" s="55"/>
      <c r="N16" s="55">
        <f t="shared" si="1"/>
        <v>43872</v>
      </c>
      <c r="P16" s="62">
        <f t="shared" si="2"/>
        <v>44162</v>
      </c>
      <c r="R16" s="62">
        <f t="shared" si="3"/>
        <v>44212</v>
      </c>
      <c r="T16" s="62"/>
    </row>
    <row r="17" spans="1:20" x14ac:dyDescent="0.3">
      <c r="A17" s="51">
        <v>15</v>
      </c>
      <c r="B17" s="52" t="s">
        <v>23</v>
      </c>
      <c r="C17" s="53" t="s">
        <v>26</v>
      </c>
      <c r="D17" s="53"/>
      <c r="E17" s="56">
        <v>41565</v>
      </c>
      <c r="F17" s="64">
        <v>2</v>
      </c>
      <c r="G17" s="64">
        <v>379</v>
      </c>
      <c r="H17" s="64">
        <v>2353</v>
      </c>
      <c r="I17" s="63">
        <f t="shared" si="0"/>
        <v>6.20844327176781</v>
      </c>
      <c r="J17" s="58">
        <v>655</v>
      </c>
      <c r="K17" s="55">
        <v>43812</v>
      </c>
      <c r="L17" s="55"/>
      <c r="M17" s="55"/>
      <c r="N17" s="55">
        <f t="shared" si="1"/>
        <v>43872</v>
      </c>
      <c r="P17" s="62">
        <f t="shared" si="2"/>
        <v>44162</v>
      </c>
      <c r="R17" s="62">
        <f t="shared" si="3"/>
        <v>44212</v>
      </c>
      <c r="T17" s="62"/>
    </row>
    <row r="18" spans="1:20" x14ac:dyDescent="0.3">
      <c r="A18" s="51">
        <v>16</v>
      </c>
      <c r="B18" s="52" t="s">
        <v>33</v>
      </c>
      <c r="C18" s="53" t="s">
        <v>34</v>
      </c>
      <c r="D18" s="53" t="s">
        <v>105</v>
      </c>
      <c r="E18" s="56">
        <v>39613</v>
      </c>
      <c r="F18" s="64">
        <v>6</v>
      </c>
      <c r="G18" s="64">
        <v>324</v>
      </c>
      <c r="H18" s="64">
        <v>2300</v>
      </c>
      <c r="I18" s="63">
        <f t="shared" si="0"/>
        <v>7.0987654320987659</v>
      </c>
      <c r="J18" s="58">
        <v>482</v>
      </c>
      <c r="K18" s="55">
        <v>43814</v>
      </c>
      <c r="L18" s="55"/>
      <c r="M18" s="55"/>
      <c r="N18" s="55">
        <f t="shared" si="1"/>
        <v>43874</v>
      </c>
      <c r="P18" s="62">
        <f t="shared" si="2"/>
        <v>44164</v>
      </c>
      <c r="R18" s="62">
        <f t="shared" si="3"/>
        <v>44214</v>
      </c>
      <c r="T18" s="62"/>
    </row>
    <row r="19" spans="1:20" x14ac:dyDescent="0.3">
      <c r="A19" s="51">
        <v>17</v>
      </c>
      <c r="B19" s="52" t="s">
        <v>29</v>
      </c>
      <c r="C19" s="53" t="s">
        <v>30</v>
      </c>
      <c r="D19" s="53" t="s">
        <v>109</v>
      </c>
      <c r="E19" s="56">
        <v>41249</v>
      </c>
      <c r="F19" s="64">
        <v>2</v>
      </c>
      <c r="G19" s="64">
        <v>350</v>
      </c>
      <c r="H19" s="64">
        <v>2150</v>
      </c>
      <c r="I19" s="63">
        <f t="shared" si="0"/>
        <v>6.1428571428571432</v>
      </c>
      <c r="J19" s="58">
        <v>620</v>
      </c>
      <c r="K19" s="55">
        <v>43815</v>
      </c>
      <c r="L19" s="55"/>
      <c r="M19" s="55"/>
      <c r="N19" s="55">
        <f t="shared" si="1"/>
        <v>43875</v>
      </c>
      <c r="P19" s="62">
        <f t="shared" si="2"/>
        <v>44165</v>
      </c>
      <c r="R19" s="62">
        <f t="shared" si="3"/>
        <v>44215</v>
      </c>
      <c r="T19" s="62"/>
    </row>
    <row r="20" spans="1:20" x14ac:dyDescent="0.3">
      <c r="A20" s="51">
        <v>18</v>
      </c>
      <c r="B20" s="52" t="s">
        <v>7</v>
      </c>
      <c r="C20" s="53" t="s">
        <v>8</v>
      </c>
      <c r="D20" s="53"/>
      <c r="E20" s="56">
        <v>39367</v>
      </c>
      <c r="F20" s="64">
        <v>6</v>
      </c>
      <c r="G20" s="64">
        <v>292</v>
      </c>
      <c r="H20" s="64">
        <v>1634</v>
      </c>
      <c r="I20" s="63">
        <f t="shared" si="0"/>
        <v>5.595890410958904</v>
      </c>
      <c r="J20" s="58">
        <v>897</v>
      </c>
      <c r="K20" s="55">
        <v>43816</v>
      </c>
      <c r="L20" s="55"/>
      <c r="M20" s="55"/>
      <c r="N20" s="55">
        <f t="shared" si="1"/>
        <v>43876</v>
      </c>
      <c r="P20" s="62">
        <f t="shared" si="2"/>
        <v>44166</v>
      </c>
      <c r="R20" s="62">
        <f t="shared" si="3"/>
        <v>44216</v>
      </c>
      <c r="T20" s="62"/>
    </row>
    <row r="21" spans="1:20" x14ac:dyDescent="0.3">
      <c r="A21" s="51">
        <v>19</v>
      </c>
      <c r="B21" s="52" t="s">
        <v>37</v>
      </c>
      <c r="C21" s="53" t="s">
        <v>38</v>
      </c>
      <c r="D21" s="53" t="s">
        <v>109</v>
      </c>
      <c r="E21" s="56">
        <v>41558</v>
      </c>
      <c r="F21" s="64">
        <v>3</v>
      </c>
      <c r="G21" s="64">
        <v>341</v>
      </c>
      <c r="H21" s="64">
        <v>2207</v>
      </c>
      <c r="I21" s="63">
        <f t="shared" si="0"/>
        <v>6.4721407624633427</v>
      </c>
      <c r="J21" s="58">
        <v>610</v>
      </c>
      <c r="K21" s="55">
        <v>43816</v>
      </c>
      <c r="L21" s="55"/>
      <c r="M21" s="55"/>
      <c r="N21" s="55">
        <f t="shared" si="1"/>
        <v>43876</v>
      </c>
      <c r="P21" s="62">
        <f t="shared" si="2"/>
        <v>44166</v>
      </c>
      <c r="R21" s="62">
        <f t="shared" si="3"/>
        <v>44216</v>
      </c>
      <c r="T21" s="62"/>
    </row>
    <row r="22" spans="1:20" x14ac:dyDescent="0.3">
      <c r="A22" s="51">
        <v>20</v>
      </c>
      <c r="B22" s="52" t="s">
        <v>35</v>
      </c>
      <c r="C22" s="53" t="s">
        <v>36</v>
      </c>
      <c r="D22" s="53" t="s">
        <v>105</v>
      </c>
      <c r="E22" s="56">
        <v>41009</v>
      </c>
      <c r="F22" s="64">
        <v>5</v>
      </c>
      <c r="G22" s="64">
        <v>262</v>
      </c>
      <c r="H22" s="64">
        <v>1664.5</v>
      </c>
      <c r="I22" s="63">
        <f t="shared" si="0"/>
        <v>6.3530534351145036</v>
      </c>
      <c r="J22" s="58">
        <v>654</v>
      </c>
      <c r="K22" s="55">
        <v>43818</v>
      </c>
      <c r="L22" s="55"/>
      <c r="M22" s="55"/>
      <c r="N22" s="55">
        <f t="shared" si="1"/>
        <v>43878</v>
      </c>
      <c r="P22" s="62">
        <f t="shared" si="2"/>
        <v>44168</v>
      </c>
      <c r="R22" s="62">
        <f t="shared" si="3"/>
        <v>44218</v>
      </c>
      <c r="T22" s="62"/>
    </row>
    <row r="23" spans="1:20" x14ac:dyDescent="0.3">
      <c r="A23" s="51">
        <v>21</v>
      </c>
      <c r="B23" s="52" t="s">
        <v>31</v>
      </c>
      <c r="C23" s="53" t="s">
        <v>32</v>
      </c>
      <c r="D23" s="53" t="s">
        <v>109</v>
      </c>
      <c r="E23" s="56">
        <v>39094</v>
      </c>
      <c r="F23" s="64">
        <v>3</v>
      </c>
      <c r="G23" s="64">
        <v>289</v>
      </c>
      <c r="H23" s="64">
        <v>1735</v>
      </c>
      <c r="I23" s="63">
        <f t="shared" si="0"/>
        <v>6.0034602076124566</v>
      </c>
      <c r="J23" s="58">
        <v>783</v>
      </c>
      <c r="K23" s="55">
        <v>43818</v>
      </c>
      <c r="L23" s="55"/>
      <c r="M23" s="55"/>
      <c r="N23" s="55">
        <f t="shared" si="1"/>
        <v>43878</v>
      </c>
      <c r="P23" s="62">
        <f t="shared" si="2"/>
        <v>44168</v>
      </c>
      <c r="R23" s="62">
        <f t="shared" si="3"/>
        <v>44218</v>
      </c>
      <c r="T23" s="62"/>
    </row>
    <row r="24" spans="1:20" x14ac:dyDescent="0.3">
      <c r="A24" s="51">
        <v>22</v>
      </c>
      <c r="B24" s="52" t="s">
        <v>59</v>
      </c>
      <c r="C24" s="53" t="s">
        <v>60</v>
      </c>
      <c r="D24" s="53" t="s">
        <v>109</v>
      </c>
      <c r="E24" s="56">
        <v>41719</v>
      </c>
      <c r="F24" s="64">
        <v>2</v>
      </c>
      <c r="G24" s="64">
        <v>332</v>
      </c>
      <c r="H24" s="64">
        <v>2167</v>
      </c>
      <c r="I24" s="63">
        <f t="shared" si="0"/>
        <v>6.5271084337349397</v>
      </c>
      <c r="J24" s="58">
        <v>617</v>
      </c>
      <c r="K24" s="55">
        <v>43819</v>
      </c>
      <c r="L24" s="55"/>
      <c r="M24" s="55"/>
      <c r="N24" s="55">
        <f t="shared" si="1"/>
        <v>43879</v>
      </c>
      <c r="P24" s="62">
        <f t="shared" si="2"/>
        <v>44169</v>
      </c>
      <c r="R24" s="62">
        <f t="shared" si="3"/>
        <v>44219</v>
      </c>
      <c r="T24" s="62"/>
    </row>
    <row r="25" spans="1:20" x14ac:dyDescent="0.3">
      <c r="A25" s="51">
        <v>23</v>
      </c>
      <c r="B25" s="52" t="s">
        <v>15</v>
      </c>
      <c r="C25" s="53" t="s">
        <v>16</v>
      </c>
      <c r="D25" s="53" t="s">
        <v>109</v>
      </c>
      <c r="E25" s="56">
        <v>39670</v>
      </c>
      <c r="F25" s="64">
        <v>4</v>
      </c>
      <c r="G25" s="64">
        <v>261</v>
      </c>
      <c r="H25" s="64">
        <v>1563</v>
      </c>
      <c r="I25" s="63">
        <f t="shared" si="0"/>
        <v>5.9885057471264371</v>
      </c>
      <c r="J25" s="58">
        <v>522</v>
      </c>
      <c r="K25" s="55">
        <v>43821</v>
      </c>
      <c r="L25" s="55"/>
      <c r="M25" s="55"/>
      <c r="N25" s="55">
        <f t="shared" si="1"/>
        <v>43881</v>
      </c>
      <c r="P25" s="62">
        <f t="shared" si="2"/>
        <v>44171</v>
      </c>
      <c r="R25" s="62">
        <f t="shared" si="3"/>
        <v>44221</v>
      </c>
      <c r="T25" s="62"/>
    </row>
    <row r="26" spans="1:20" x14ac:dyDescent="0.3">
      <c r="A26" s="51">
        <v>24</v>
      </c>
      <c r="B26" s="52" t="s">
        <v>53</v>
      </c>
      <c r="C26" s="53" t="s">
        <v>54</v>
      </c>
      <c r="D26" s="53" t="s">
        <v>105</v>
      </c>
      <c r="E26" s="56">
        <v>40308</v>
      </c>
      <c r="F26" s="64">
        <v>6</v>
      </c>
      <c r="G26" s="64">
        <v>282</v>
      </c>
      <c r="H26" s="64"/>
      <c r="I26" s="63">
        <f t="shared" si="0"/>
        <v>0</v>
      </c>
      <c r="J26" s="58">
        <v>391</v>
      </c>
      <c r="K26" s="55">
        <v>43837</v>
      </c>
      <c r="L26" s="55"/>
      <c r="M26" s="55"/>
      <c r="N26" s="55">
        <f t="shared" si="1"/>
        <v>43897</v>
      </c>
      <c r="P26" s="62">
        <f t="shared" si="2"/>
        <v>44187</v>
      </c>
      <c r="R26" s="62">
        <f t="shared" si="3"/>
        <v>44237</v>
      </c>
      <c r="T26" s="62"/>
    </row>
    <row r="27" spans="1:20" x14ac:dyDescent="0.3">
      <c r="A27" s="51">
        <v>25</v>
      </c>
      <c r="B27" s="52" t="s">
        <v>71</v>
      </c>
      <c r="C27" s="53" t="s">
        <v>72</v>
      </c>
      <c r="D27" s="53" t="s">
        <v>109</v>
      </c>
      <c r="E27" s="56">
        <v>41464</v>
      </c>
      <c r="F27" s="64">
        <v>2</v>
      </c>
      <c r="G27" s="64">
        <v>325</v>
      </c>
      <c r="H27" s="64"/>
      <c r="I27" s="63">
        <f t="shared" si="0"/>
        <v>0</v>
      </c>
      <c r="J27" s="58">
        <v>430</v>
      </c>
      <c r="K27" s="55">
        <v>43840</v>
      </c>
      <c r="L27" s="55"/>
      <c r="M27" s="55"/>
      <c r="N27" s="55">
        <f t="shared" si="1"/>
        <v>43900</v>
      </c>
      <c r="P27" s="62">
        <f t="shared" si="2"/>
        <v>44190</v>
      </c>
      <c r="R27" s="62">
        <f t="shared" si="3"/>
        <v>44240</v>
      </c>
      <c r="T27" s="62"/>
    </row>
    <row r="28" spans="1:20" x14ac:dyDescent="0.3">
      <c r="A28" s="51">
        <v>26</v>
      </c>
      <c r="B28" s="52" t="s">
        <v>73</v>
      </c>
      <c r="C28" s="53" t="s">
        <v>74</v>
      </c>
      <c r="D28" s="53" t="s">
        <v>108</v>
      </c>
      <c r="E28" s="56">
        <v>41463</v>
      </c>
      <c r="F28" s="64">
        <v>1</v>
      </c>
      <c r="G28" s="64">
        <v>299</v>
      </c>
      <c r="H28" s="64"/>
      <c r="I28" s="63">
        <f t="shared" si="0"/>
        <v>0</v>
      </c>
      <c r="J28" s="58">
        <v>1720</v>
      </c>
      <c r="K28" s="55">
        <v>43840</v>
      </c>
      <c r="L28" s="55"/>
      <c r="M28" s="55"/>
      <c r="N28" s="55">
        <f t="shared" si="1"/>
        <v>43900</v>
      </c>
      <c r="P28" s="62">
        <f t="shared" si="2"/>
        <v>44190</v>
      </c>
      <c r="R28" s="62">
        <f t="shared" si="3"/>
        <v>44240</v>
      </c>
      <c r="T28" s="62"/>
    </row>
    <row r="29" spans="1:20" x14ac:dyDescent="0.3">
      <c r="A29" s="51">
        <v>27</v>
      </c>
      <c r="B29" s="52" t="s">
        <v>55</v>
      </c>
      <c r="C29" s="53" t="s">
        <v>56</v>
      </c>
      <c r="D29" s="53" t="s">
        <v>109</v>
      </c>
      <c r="E29" s="56">
        <v>41106</v>
      </c>
      <c r="F29" s="64">
        <v>1</v>
      </c>
      <c r="G29" s="64">
        <v>353</v>
      </c>
      <c r="H29" s="64"/>
      <c r="I29" s="63">
        <f t="shared" si="0"/>
        <v>0</v>
      </c>
      <c r="J29" s="58">
        <v>1923</v>
      </c>
      <c r="K29" s="55">
        <v>43840</v>
      </c>
      <c r="L29" s="55"/>
      <c r="M29" s="55"/>
      <c r="N29" s="55">
        <f t="shared" si="1"/>
        <v>43900</v>
      </c>
      <c r="P29" s="62">
        <f t="shared" si="2"/>
        <v>44190</v>
      </c>
      <c r="R29" s="62">
        <f t="shared" si="3"/>
        <v>44240</v>
      </c>
      <c r="T29" s="62"/>
    </row>
    <row r="30" spans="1:20" x14ac:dyDescent="0.3">
      <c r="A30" s="51">
        <v>28</v>
      </c>
      <c r="B30" s="54" t="s">
        <v>5</v>
      </c>
      <c r="C30" s="53" t="s">
        <v>6</v>
      </c>
      <c r="D30" s="53" t="s">
        <v>109</v>
      </c>
      <c r="E30" s="56">
        <v>38393</v>
      </c>
      <c r="F30" s="64">
        <v>5</v>
      </c>
      <c r="G30" s="64">
        <v>272</v>
      </c>
      <c r="H30" s="64"/>
      <c r="I30" s="63">
        <f t="shared" si="0"/>
        <v>0</v>
      </c>
      <c r="J30" s="58">
        <v>410</v>
      </c>
      <c r="K30" s="55">
        <v>43840</v>
      </c>
      <c r="L30" s="55"/>
      <c r="M30" s="55"/>
      <c r="N30" s="55">
        <f t="shared" si="1"/>
        <v>43900</v>
      </c>
      <c r="P30" s="62">
        <f t="shared" si="2"/>
        <v>44190</v>
      </c>
      <c r="R30" s="62">
        <f t="shared" si="3"/>
        <v>44240</v>
      </c>
      <c r="T30" s="62"/>
    </row>
    <row r="31" spans="1:20" x14ac:dyDescent="0.3">
      <c r="A31" s="51">
        <v>29</v>
      </c>
      <c r="B31" s="52" t="s">
        <v>49</v>
      </c>
      <c r="C31" s="53" t="s">
        <v>50</v>
      </c>
      <c r="D31" s="53" t="s">
        <v>109</v>
      </c>
      <c r="E31" s="56">
        <v>37029</v>
      </c>
      <c r="F31" s="64">
        <v>2</v>
      </c>
      <c r="G31" s="64">
        <v>290</v>
      </c>
      <c r="H31" s="64"/>
      <c r="I31" s="63">
        <f t="shared" si="0"/>
        <v>0</v>
      </c>
      <c r="J31" s="58">
        <v>802</v>
      </c>
      <c r="K31" s="55">
        <v>43840</v>
      </c>
      <c r="L31" s="55"/>
      <c r="M31" s="55"/>
      <c r="N31" s="55">
        <f t="shared" si="1"/>
        <v>43900</v>
      </c>
      <c r="P31" s="62">
        <f t="shared" si="2"/>
        <v>44190</v>
      </c>
      <c r="R31" s="62">
        <f t="shared" si="3"/>
        <v>44240</v>
      </c>
      <c r="T31" s="62"/>
    </row>
    <row r="32" spans="1:20" x14ac:dyDescent="0.3">
      <c r="A32" s="51">
        <v>30</v>
      </c>
      <c r="B32" s="52" t="s">
        <v>3</v>
      </c>
      <c r="C32" s="53" t="s">
        <v>4</v>
      </c>
      <c r="D32" s="53" t="s">
        <v>105</v>
      </c>
      <c r="E32" s="56">
        <v>41524</v>
      </c>
      <c r="F32" s="64">
        <v>1</v>
      </c>
      <c r="G32" s="64">
        <v>238</v>
      </c>
      <c r="H32" s="64"/>
      <c r="I32" s="63">
        <f t="shared" si="0"/>
        <v>0</v>
      </c>
      <c r="J32" s="58">
        <v>1222</v>
      </c>
      <c r="K32" s="55">
        <v>43871</v>
      </c>
      <c r="L32" s="55"/>
      <c r="M32" s="55"/>
      <c r="N32" s="55">
        <f t="shared" si="1"/>
        <v>43931</v>
      </c>
      <c r="P32" s="62">
        <f t="shared" si="2"/>
        <v>44221</v>
      </c>
      <c r="R32" s="62">
        <f t="shared" si="3"/>
        <v>44271</v>
      </c>
      <c r="T32" s="62"/>
    </row>
    <row r="33" spans="1:20" x14ac:dyDescent="0.3">
      <c r="A33" s="51">
        <v>31</v>
      </c>
      <c r="B33" s="52" t="s">
        <v>43</v>
      </c>
      <c r="C33" s="53" t="s">
        <v>44</v>
      </c>
      <c r="D33" s="53" t="s">
        <v>109</v>
      </c>
      <c r="E33" s="56">
        <v>40863</v>
      </c>
      <c r="F33" s="64">
        <v>2</v>
      </c>
      <c r="G33" s="64">
        <v>0</v>
      </c>
      <c r="H33" s="64"/>
      <c r="I33" s="63" t="e">
        <f t="shared" si="0"/>
        <v>#DIV/0!</v>
      </c>
      <c r="J33" s="58">
        <v>468</v>
      </c>
      <c r="K33" s="55">
        <v>43871</v>
      </c>
      <c r="L33" s="55"/>
      <c r="M33" s="55"/>
      <c r="N33" s="55">
        <f t="shared" si="1"/>
        <v>43931</v>
      </c>
      <c r="P33" s="62">
        <f t="shared" si="2"/>
        <v>44221</v>
      </c>
      <c r="R33" s="62">
        <f t="shared" si="3"/>
        <v>44271</v>
      </c>
      <c r="T33" s="62"/>
    </row>
    <row r="34" spans="1:20" x14ac:dyDescent="0.3">
      <c r="A34" s="51">
        <v>32</v>
      </c>
      <c r="B34" s="52" t="s">
        <v>51</v>
      </c>
      <c r="C34" s="53" t="s">
        <v>107</v>
      </c>
      <c r="D34" s="53" t="s">
        <v>108</v>
      </c>
      <c r="E34" s="56">
        <v>39464</v>
      </c>
      <c r="F34" s="64">
        <v>5</v>
      </c>
      <c r="G34" s="64">
        <v>304</v>
      </c>
      <c r="H34" s="64"/>
      <c r="I34" s="63">
        <f t="shared" si="0"/>
        <v>0</v>
      </c>
      <c r="J34" s="58">
        <v>287</v>
      </c>
      <c r="K34" s="55">
        <v>43897</v>
      </c>
      <c r="L34" s="55"/>
      <c r="M34" s="55"/>
      <c r="N34" s="55">
        <f t="shared" si="1"/>
        <v>43957</v>
      </c>
      <c r="P34" s="62">
        <f t="shared" si="2"/>
        <v>44247</v>
      </c>
      <c r="R34" s="62">
        <f t="shared" si="3"/>
        <v>44297</v>
      </c>
      <c r="T34" s="62"/>
    </row>
    <row r="35" spans="1:20" x14ac:dyDescent="0.3">
      <c r="A35" s="51">
        <v>33</v>
      </c>
      <c r="B35" s="52" t="s">
        <v>27</v>
      </c>
      <c r="C35" s="53" t="s">
        <v>28</v>
      </c>
      <c r="D35" s="53" t="s">
        <v>109</v>
      </c>
      <c r="E35" s="56">
        <v>41526</v>
      </c>
      <c r="F35" s="64">
        <v>1</v>
      </c>
      <c r="G35" s="64">
        <v>340</v>
      </c>
      <c r="H35" s="64"/>
      <c r="I35" s="63">
        <f t="shared" si="0"/>
        <v>0</v>
      </c>
      <c r="J35" s="58">
        <v>1659</v>
      </c>
      <c r="K35" s="55">
        <v>43900</v>
      </c>
      <c r="L35" s="55"/>
      <c r="M35" s="55"/>
      <c r="N35" s="55">
        <f t="shared" si="1"/>
        <v>43960</v>
      </c>
      <c r="P35" s="62">
        <f t="shared" si="2"/>
        <v>44250</v>
      </c>
      <c r="R35" s="62">
        <f t="shared" si="3"/>
        <v>44300</v>
      </c>
      <c r="T35" s="62"/>
    </row>
    <row r="36" spans="1:20" x14ac:dyDescent="0.3">
      <c r="A36" s="51">
        <v>34</v>
      </c>
      <c r="B36" s="52" t="s">
        <v>65</v>
      </c>
      <c r="C36" s="53" t="s">
        <v>66</v>
      </c>
      <c r="D36" s="53" t="s">
        <v>105</v>
      </c>
      <c r="E36" s="56">
        <v>39323</v>
      </c>
      <c r="F36" s="64">
        <v>6</v>
      </c>
      <c r="G36" s="64">
        <v>213</v>
      </c>
      <c r="H36" s="64"/>
      <c r="I36" s="63">
        <f t="shared" si="0"/>
        <v>0</v>
      </c>
      <c r="J36" s="58">
        <v>325</v>
      </c>
      <c r="K36" s="55">
        <v>43961</v>
      </c>
      <c r="L36" s="55"/>
      <c r="M36" s="55"/>
      <c r="N36" s="55">
        <f t="shared" si="1"/>
        <v>44021</v>
      </c>
      <c r="P36" s="62">
        <f t="shared" si="2"/>
        <v>44311</v>
      </c>
      <c r="R36" s="62">
        <f t="shared" si="3"/>
        <v>44361</v>
      </c>
      <c r="T36" s="62"/>
    </row>
    <row r="37" spans="1:20" x14ac:dyDescent="0.3">
      <c r="A37" s="51">
        <v>35</v>
      </c>
      <c r="B37" s="52" t="s">
        <v>69</v>
      </c>
      <c r="C37" s="53" t="s">
        <v>70</v>
      </c>
      <c r="D37" s="53" t="s">
        <v>105</v>
      </c>
      <c r="E37" s="56">
        <v>41554</v>
      </c>
      <c r="F37" s="64">
        <v>1</v>
      </c>
      <c r="G37" s="64">
        <v>202</v>
      </c>
      <c r="H37" s="64"/>
      <c r="I37" s="63">
        <f t="shared" si="0"/>
        <v>0</v>
      </c>
      <c r="J37" s="58">
        <v>2102</v>
      </c>
      <c r="K37" s="55">
        <v>44050</v>
      </c>
      <c r="L37" s="55"/>
      <c r="M37" s="55"/>
      <c r="N37" s="55">
        <f t="shared" si="1"/>
        <v>44110</v>
      </c>
      <c r="P37" s="62">
        <f t="shared" si="2"/>
        <v>44400</v>
      </c>
      <c r="R37" s="62">
        <f t="shared" si="3"/>
        <v>44450</v>
      </c>
      <c r="T37" s="62"/>
    </row>
    <row r="38" spans="1:20" x14ac:dyDescent="0.3">
      <c r="A38" s="51">
        <v>36</v>
      </c>
      <c r="B38" s="52" t="s">
        <v>47</v>
      </c>
      <c r="C38" s="53" t="s">
        <v>48</v>
      </c>
      <c r="D38" s="53" t="s">
        <v>109</v>
      </c>
      <c r="E38" s="56">
        <v>41156</v>
      </c>
      <c r="F38" s="64">
        <v>2</v>
      </c>
      <c r="G38" s="64">
        <v>370</v>
      </c>
      <c r="H38" s="64">
        <v>2163</v>
      </c>
      <c r="I38" s="63">
        <f t="shared" si="0"/>
        <v>5.845945945945946</v>
      </c>
      <c r="J38" s="58">
        <v>660</v>
      </c>
      <c r="K38" s="55">
        <v>44186</v>
      </c>
      <c r="L38" s="55"/>
      <c r="M38" s="55"/>
      <c r="N38" s="55">
        <f t="shared" si="1"/>
        <v>44246</v>
      </c>
      <c r="P38" s="62">
        <f t="shared" si="2"/>
        <v>44536</v>
      </c>
      <c r="R38" s="62">
        <f t="shared" si="3"/>
        <v>44586</v>
      </c>
      <c r="T38" s="62"/>
    </row>
    <row r="39" spans="1:20" x14ac:dyDescent="0.3">
      <c r="A39" s="51">
        <v>37</v>
      </c>
      <c r="B39" s="52" t="s">
        <v>67</v>
      </c>
      <c r="C39" s="53" t="s">
        <v>68</v>
      </c>
      <c r="D39" s="53" t="s">
        <v>108</v>
      </c>
      <c r="E39" s="56">
        <v>40765</v>
      </c>
      <c r="F39" s="64">
        <v>5</v>
      </c>
      <c r="G39" s="64"/>
      <c r="H39" s="64"/>
      <c r="I39" s="63" t="e">
        <f t="shared" si="0"/>
        <v>#DIV/0!</v>
      </c>
      <c r="J39" s="58">
        <v>694</v>
      </c>
      <c r="K39" s="55">
        <v>43493</v>
      </c>
      <c r="L39" s="55"/>
      <c r="M39" s="55"/>
      <c r="N39" s="55">
        <v>43776</v>
      </c>
      <c r="P39" s="62">
        <f t="shared" si="2"/>
        <v>43843</v>
      </c>
      <c r="R39" s="62">
        <f t="shared" si="3"/>
        <v>43893</v>
      </c>
      <c r="T39" s="62"/>
    </row>
    <row r="40" spans="1:20" x14ac:dyDescent="0.3">
      <c r="A40" s="51">
        <v>38</v>
      </c>
      <c r="B40" s="52" t="s">
        <v>87</v>
      </c>
      <c r="C40" s="53" t="s">
        <v>90</v>
      </c>
      <c r="D40" s="53" t="s">
        <v>110</v>
      </c>
      <c r="E40" s="56">
        <v>41035</v>
      </c>
      <c r="F40" s="64">
        <v>4</v>
      </c>
      <c r="G40" s="64">
        <v>0</v>
      </c>
      <c r="H40" s="64"/>
      <c r="I40" s="63" t="e">
        <f t="shared" si="0"/>
        <v>#DIV/0!</v>
      </c>
      <c r="J40" s="58">
        <v>0</v>
      </c>
      <c r="K40" s="55"/>
      <c r="L40" s="55"/>
      <c r="M40" s="55" t="s">
        <v>111</v>
      </c>
      <c r="N40" s="55">
        <v>43776</v>
      </c>
      <c r="P40" s="62"/>
      <c r="R40" s="62"/>
      <c r="T40" s="62"/>
    </row>
    <row r="41" spans="1:20" x14ac:dyDescent="0.3">
      <c r="A41" s="51">
        <v>39</v>
      </c>
      <c r="B41" s="52" t="s">
        <v>77</v>
      </c>
      <c r="C41" s="53" t="s">
        <v>78</v>
      </c>
      <c r="D41" s="53" t="s">
        <v>109</v>
      </c>
      <c r="E41" s="56">
        <v>41007</v>
      </c>
      <c r="F41" s="64">
        <v>5</v>
      </c>
      <c r="G41" s="64"/>
      <c r="H41" s="64"/>
      <c r="I41" s="63" t="e">
        <f t="shared" si="0"/>
        <v>#DIV/0!</v>
      </c>
      <c r="J41" s="58">
        <v>447</v>
      </c>
      <c r="K41" s="55">
        <v>43646</v>
      </c>
      <c r="L41" s="55"/>
      <c r="M41" s="55"/>
      <c r="N41" s="55">
        <v>43776</v>
      </c>
      <c r="P41" s="62">
        <f>K41+350</f>
        <v>43996</v>
      </c>
      <c r="R41" s="62"/>
      <c r="T41" s="62"/>
    </row>
    <row r="42" spans="1:20" x14ac:dyDescent="0.3">
      <c r="A42" s="51">
        <v>40</v>
      </c>
      <c r="B42" s="52" t="s">
        <v>75</v>
      </c>
      <c r="C42" s="53" t="s">
        <v>76</v>
      </c>
      <c r="D42" s="53" t="s">
        <v>109</v>
      </c>
      <c r="E42" s="56">
        <v>41092</v>
      </c>
      <c r="F42" s="64">
        <v>3</v>
      </c>
      <c r="G42" s="64"/>
      <c r="H42" s="64"/>
      <c r="I42" s="63" t="e">
        <f t="shared" si="0"/>
        <v>#DIV/0!</v>
      </c>
      <c r="J42" s="58">
        <v>387</v>
      </c>
      <c r="K42" s="55">
        <v>43658</v>
      </c>
      <c r="L42" s="55"/>
      <c r="M42" s="55"/>
      <c r="N42" s="55">
        <v>43776</v>
      </c>
      <c r="P42" s="62">
        <f t="shared" si="2"/>
        <v>44008</v>
      </c>
      <c r="R42" s="62"/>
      <c r="T42" s="62"/>
    </row>
    <row r="43" spans="1:20" x14ac:dyDescent="0.3">
      <c r="A43" s="51">
        <v>41</v>
      </c>
      <c r="B43" s="52" t="s">
        <v>83</v>
      </c>
      <c r="C43" s="53" t="s">
        <v>84</v>
      </c>
      <c r="D43" s="53" t="s">
        <v>108</v>
      </c>
      <c r="E43" s="56">
        <v>41246</v>
      </c>
      <c r="F43" s="64">
        <v>2</v>
      </c>
      <c r="G43" s="64"/>
      <c r="H43" s="64"/>
      <c r="I43" s="63" t="e">
        <f t="shared" si="0"/>
        <v>#DIV/0!</v>
      </c>
      <c r="J43" s="58">
        <v>720</v>
      </c>
      <c r="K43" s="55">
        <v>43559</v>
      </c>
      <c r="L43" s="55"/>
      <c r="M43" s="55"/>
      <c r="N43" s="55">
        <v>43776</v>
      </c>
      <c r="P43" s="62">
        <f t="shared" si="2"/>
        <v>43909</v>
      </c>
      <c r="R43" s="62"/>
      <c r="T43" s="62"/>
    </row>
    <row r="44" spans="1:20" x14ac:dyDescent="0.3">
      <c r="A44" s="51">
        <v>42</v>
      </c>
      <c r="B44" s="52" t="s">
        <v>14</v>
      </c>
      <c r="C44" s="53" t="s">
        <v>13</v>
      </c>
      <c r="D44" s="53" t="s">
        <v>109</v>
      </c>
      <c r="E44" s="56">
        <v>39368</v>
      </c>
      <c r="F44" s="64">
        <v>5</v>
      </c>
      <c r="G44" s="64">
        <v>242</v>
      </c>
      <c r="H44" s="64"/>
      <c r="I44" s="63">
        <f t="shared" si="0"/>
        <v>0</v>
      </c>
      <c r="J44" s="58">
        <v>326</v>
      </c>
      <c r="K44" s="55"/>
      <c r="L44" s="55"/>
      <c r="M44" s="55"/>
      <c r="N44" s="55">
        <v>43776</v>
      </c>
      <c r="P44" s="62"/>
      <c r="R44" s="62"/>
      <c r="T44" s="62"/>
    </row>
    <row r="45" spans="1:20" x14ac:dyDescent="0.3">
      <c r="A45" s="51">
        <v>43</v>
      </c>
      <c r="B45" s="52" t="s">
        <v>81</v>
      </c>
      <c r="C45" s="53" t="s">
        <v>82</v>
      </c>
      <c r="D45" s="53" t="s">
        <v>109</v>
      </c>
      <c r="E45" s="56">
        <v>40230</v>
      </c>
      <c r="F45" s="64">
        <v>4</v>
      </c>
      <c r="G45" s="64"/>
      <c r="H45" s="64"/>
      <c r="I45" s="63" t="e">
        <f t="shared" si="0"/>
        <v>#DIV/0!</v>
      </c>
      <c r="J45" s="58">
        <v>585</v>
      </c>
      <c r="K45" s="55">
        <v>43584</v>
      </c>
      <c r="L45" s="55"/>
      <c r="M45" s="55"/>
      <c r="N45" s="55">
        <v>43776</v>
      </c>
      <c r="P45" s="62">
        <f t="shared" si="2"/>
        <v>43934</v>
      </c>
      <c r="R45" s="62"/>
      <c r="T45" s="62"/>
    </row>
    <row r="46" spans="1:20" x14ac:dyDescent="0.3">
      <c r="A46" s="51">
        <v>44</v>
      </c>
      <c r="B46" s="52" t="s">
        <v>85</v>
      </c>
      <c r="C46" s="53" t="s">
        <v>86</v>
      </c>
      <c r="D46" s="53"/>
      <c r="E46" s="56"/>
      <c r="F46" s="64"/>
      <c r="G46" s="64"/>
      <c r="H46" s="64"/>
      <c r="I46" s="63" t="e">
        <f t="shared" si="0"/>
        <v>#DIV/0!</v>
      </c>
      <c r="J46" s="58"/>
      <c r="K46" s="55"/>
      <c r="L46" s="55"/>
      <c r="M46" s="55" t="s">
        <v>111</v>
      </c>
      <c r="N46" s="55"/>
      <c r="P46" s="62"/>
      <c r="R46" s="62"/>
      <c r="T46" s="62"/>
    </row>
    <row r="47" spans="1:20" x14ac:dyDescent="0.3">
      <c r="A47" s="51">
        <v>45</v>
      </c>
      <c r="B47" s="52" t="s">
        <v>79</v>
      </c>
      <c r="C47" s="53" t="s">
        <v>80</v>
      </c>
      <c r="D47" s="53" t="s">
        <v>105</v>
      </c>
      <c r="E47" s="56">
        <v>39290</v>
      </c>
      <c r="F47" s="64">
        <v>6</v>
      </c>
      <c r="G47" s="64"/>
      <c r="H47" s="64"/>
      <c r="I47" s="63" t="e">
        <f t="shared" si="0"/>
        <v>#DIV/0!</v>
      </c>
      <c r="J47" s="58">
        <v>558</v>
      </c>
      <c r="K47" s="55">
        <v>43624</v>
      </c>
      <c r="L47" s="55"/>
      <c r="M47" s="55"/>
      <c r="N47" s="55"/>
      <c r="P47" s="62">
        <f t="shared" si="2"/>
        <v>43974</v>
      </c>
      <c r="R47" s="62"/>
      <c r="T47" s="62"/>
    </row>
    <row r="48" spans="1:20" x14ac:dyDescent="0.3">
      <c r="A48" s="51">
        <v>46</v>
      </c>
      <c r="B48" s="52" t="s">
        <v>132</v>
      </c>
      <c r="C48" s="53"/>
      <c r="D48" s="53" t="s">
        <v>109</v>
      </c>
      <c r="E48" s="56">
        <v>41287</v>
      </c>
      <c r="F48" s="64"/>
      <c r="G48" s="64"/>
      <c r="H48" s="64"/>
      <c r="I48" s="63"/>
      <c r="J48" s="58"/>
      <c r="K48" s="55">
        <v>43871</v>
      </c>
      <c r="L48" s="55"/>
      <c r="M48" s="55"/>
      <c r="N48" s="55"/>
      <c r="O48" s="62"/>
      <c r="P48" s="62">
        <f>K48+350</f>
        <v>44221</v>
      </c>
      <c r="R48" s="62">
        <f>K48+90+310</f>
        <v>44271</v>
      </c>
      <c r="T48" s="62"/>
    </row>
    <row r="49" spans="1:20" x14ac:dyDescent="0.3">
      <c r="A49" s="51">
        <v>47</v>
      </c>
      <c r="B49" s="52" t="s">
        <v>133</v>
      </c>
      <c r="C49" s="53"/>
      <c r="D49" s="53" t="s">
        <v>109</v>
      </c>
      <c r="E49" s="56">
        <v>41319</v>
      </c>
      <c r="F49" s="64"/>
      <c r="G49" s="64"/>
      <c r="H49" s="64"/>
      <c r="I49" s="63"/>
      <c r="J49" s="58"/>
      <c r="K49" s="55">
        <v>43871</v>
      </c>
      <c r="L49" s="55"/>
      <c r="M49" s="55"/>
      <c r="N49" s="55"/>
      <c r="P49" s="62">
        <f>K49+350</f>
        <v>44221</v>
      </c>
      <c r="R49" s="62">
        <f>K49+90+310</f>
        <v>44271</v>
      </c>
      <c r="T49" s="62"/>
    </row>
    <row r="50" spans="1:20" x14ac:dyDescent="0.3">
      <c r="A50" s="51">
        <v>48</v>
      </c>
      <c r="B50" s="52" t="s">
        <v>134</v>
      </c>
      <c r="C50" s="53"/>
      <c r="D50" s="53" t="s">
        <v>109</v>
      </c>
      <c r="E50" s="56">
        <v>41436</v>
      </c>
      <c r="F50" s="64"/>
      <c r="G50" s="64"/>
      <c r="H50" s="64"/>
      <c r="I50" s="63"/>
      <c r="J50" s="58"/>
      <c r="K50" s="55">
        <v>43871</v>
      </c>
      <c r="L50" s="55"/>
      <c r="M50" s="55"/>
      <c r="N50" s="55"/>
      <c r="P50" s="62">
        <f>K50+350</f>
        <v>44221</v>
      </c>
      <c r="R50" s="62">
        <f>K50+90+310</f>
        <v>44271</v>
      </c>
      <c r="T50" s="62"/>
    </row>
    <row r="51" spans="1:20" x14ac:dyDescent="0.3">
      <c r="A51" s="51">
        <v>49</v>
      </c>
      <c r="B51" s="52" t="s">
        <v>135</v>
      </c>
      <c r="C51" s="53"/>
      <c r="D51" s="53" t="s">
        <v>109</v>
      </c>
      <c r="E51" s="56">
        <v>41455</v>
      </c>
      <c r="F51" s="64"/>
      <c r="G51" s="64"/>
      <c r="H51" s="64"/>
      <c r="I51" s="63"/>
      <c r="J51" s="58"/>
      <c r="K51" s="55">
        <v>43915</v>
      </c>
      <c r="L51" s="55"/>
      <c r="M51" s="55"/>
      <c r="N51" s="55"/>
      <c r="P51" s="62">
        <f>K51+350</f>
        <v>44265</v>
      </c>
      <c r="R51" s="62">
        <f>K51+90+310</f>
        <v>44315</v>
      </c>
      <c r="T51" s="62"/>
    </row>
    <row r="52" spans="1:20" x14ac:dyDescent="0.3">
      <c r="A52" s="51">
        <v>50</v>
      </c>
      <c r="B52" s="52" t="s">
        <v>136</v>
      </c>
      <c r="C52" s="53"/>
      <c r="D52" s="53" t="s">
        <v>109</v>
      </c>
      <c r="E52" s="56">
        <v>41431</v>
      </c>
      <c r="F52" s="64"/>
      <c r="G52" s="64"/>
      <c r="H52" s="64"/>
      <c r="I52" s="63"/>
      <c r="J52" s="58"/>
      <c r="K52" s="55"/>
      <c r="L52" s="55"/>
      <c r="M52" s="55"/>
      <c r="N52" s="55"/>
      <c r="P52" s="62"/>
      <c r="R52" s="62"/>
      <c r="T52" s="62"/>
    </row>
    <row r="53" spans="1:20" x14ac:dyDescent="0.3">
      <c r="A53" s="51">
        <v>51</v>
      </c>
      <c r="B53" s="52" t="s">
        <v>137</v>
      </c>
      <c r="C53" s="53"/>
      <c r="D53" s="53" t="s">
        <v>109</v>
      </c>
      <c r="E53" s="56">
        <v>41492</v>
      </c>
      <c r="F53" s="64"/>
      <c r="G53" s="64"/>
      <c r="H53" s="64"/>
      <c r="I53" s="63"/>
      <c r="J53" s="58"/>
      <c r="K53" s="55"/>
      <c r="L53" s="55"/>
      <c r="M53" s="55"/>
      <c r="N53" s="55"/>
      <c r="P53" s="62"/>
      <c r="R53" s="62"/>
      <c r="T53" s="62"/>
    </row>
    <row r="54" spans="1:20" x14ac:dyDescent="0.3">
      <c r="A54" s="51">
        <v>52</v>
      </c>
      <c r="B54" s="52" t="s">
        <v>138</v>
      </c>
      <c r="C54" s="53"/>
      <c r="D54" s="53" t="s">
        <v>109</v>
      </c>
      <c r="E54" s="56">
        <v>41556</v>
      </c>
      <c r="F54" s="64"/>
      <c r="G54" s="64"/>
      <c r="H54" s="64"/>
      <c r="I54" s="63"/>
      <c r="J54" s="58"/>
      <c r="K54" s="55"/>
      <c r="L54" s="55"/>
      <c r="M54" s="55"/>
      <c r="N54" s="55"/>
      <c r="P54" s="62"/>
      <c r="R54" s="62"/>
      <c r="T54" s="62"/>
    </row>
    <row r="55" spans="1:20" x14ac:dyDescent="0.3">
      <c r="A55" s="51">
        <v>53</v>
      </c>
      <c r="B55" s="52" t="s">
        <v>139</v>
      </c>
      <c r="C55" s="53"/>
      <c r="D55" s="53" t="s">
        <v>109</v>
      </c>
      <c r="E55" s="56">
        <v>41596</v>
      </c>
      <c r="F55" s="64"/>
      <c r="G55" s="64"/>
      <c r="H55" s="64"/>
      <c r="I55" s="63"/>
      <c r="J55" s="58"/>
      <c r="K55" s="55"/>
      <c r="L55" s="55"/>
      <c r="M55" s="55"/>
      <c r="N55" s="55"/>
      <c r="P55" s="62"/>
      <c r="R55" s="62"/>
      <c r="T55" s="62"/>
    </row>
    <row r="56" spans="1:20" x14ac:dyDescent="0.3">
      <c r="A56" s="51">
        <v>54</v>
      </c>
      <c r="B56" s="52" t="s">
        <v>140</v>
      </c>
      <c r="C56" s="53"/>
      <c r="D56" s="53" t="s">
        <v>109</v>
      </c>
      <c r="E56" s="56">
        <v>41600</v>
      </c>
      <c r="F56" s="64"/>
      <c r="G56" s="64"/>
      <c r="H56" s="64"/>
      <c r="I56" s="63"/>
      <c r="J56" s="58"/>
      <c r="K56" s="55"/>
      <c r="L56" s="55"/>
      <c r="M56" s="55"/>
      <c r="N56" s="55"/>
      <c r="P56" s="62"/>
      <c r="R56" s="62"/>
      <c r="T56" s="62"/>
    </row>
    <row r="57" spans="1:20" x14ac:dyDescent="0.3">
      <c r="A57" s="51">
        <v>55</v>
      </c>
      <c r="B57" s="51">
        <v>552</v>
      </c>
      <c r="C57" s="50"/>
      <c r="D57" s="53" t="s">
        <v>109</v>
      </c>
      <c r="E57" s="56">
        <v>41604</v>
      </c>
      <c r="F57" s="50"/>
      <c r="G57" s="50"/>
      <c r="H57" s="50"/>
      <c r="I57" s="50"/>
      <c r="J57" s="59"/>
      <c r="K57" s="55"/>
      <c r="L57" s="55"/>
      <c r="M57" s="55"/>
      <c r="N57" s="55"/>
    </row>
    <row r="58" spans="1:20" x14ac:dyDescent="0.3">
      <c r="A58" s="51">
        <v>56</v>
      </c>
      <c r="B58" s="51">
        <v>14003</v>
      </c>
      <c r="C58" s="50"/>
      <c r="D58" s="53" t="s">
        <v>109</v>
      </c>
      <c r="E58" s="56">
        <v>41655</v>
      </c>
      <c r="F58" s="50"/>
      <c r="G58" s="50"/>
      <c r="H58" s="50"/>
      <c r="I58" s="50"/>
      <c r="J58" s="59"/>
      <c r="K58" s="55"/>
      <c r="L58" s="55"/>
      <c r="M58" s="55"/>
      <c r="N58" s="55"/>
    </row>
    <row r="59" spans="1:20" x14ac:dyDescent="0.3">
      <c r="A59" s="51">
        <v>57</v>
      </c>
      <c r="B59" s="51">
        <v>14006</v>
      </c>
      <c r="C59" s="50"/>
      <c r="D59" s="53" t="s">
        <v>109</v>
      </c>
      <c r="E59" s="56">
        <v>41728</v>
      </c>
      <c r="F59" s="50"/>
      <c r="G59" s="50"/>
      <c r="H59" s="50"/>
      <c r="I59" s="50"/>
      <c r="J59" s="59"/>
      <c r="K59" s="55"/>
      <c r="L59" s="55"/>
      <c r="M59" s="55"/>
      <c r="N59" s="55"/>
    </row>
    <row r="60" spans="1:20" x14ac:dyDescent="0.3">
      <c r="A60" s="51">
        <v>58</v>
      </c>
      <c r="B60" s="51">
        <v>14012</v>
      </c>
      <c r="C60" s="50"/>
      <c r="D60" s="53" t="s">
        <v>109</v>
      </c>
      <c r="E60" s="56">
        <v>41761</v>
      </c>
      <c r="F60" s="50"/>
      <c r="G60" s="50"/>
      <c r="H60" s="50"/>
      <c r="I60" s="50"/>
      <c r="J60" s="59"/>
      <c r="K60" s="55">
        <v>43855</v>
      </c>
      <c r="L60" s="55"/>
      <c r="M60" s="55"/>
      <c r="N60" s="55"/>
      <c r="P60" s="62">
        <f>K60+350</f>
        <v>44205</v>
      </c>
      <c r="R60" s="62">
        <f>K60+90+310</f>
        <v>44255</v>
      </c>
    </row>
    <row r="61" spans="1:20" x14ac:dyDescent="0.3">
      <c r="A61" s="51">
        <v>59</v>
      </c>
      <c r="B61" s="51">
        <v>140018</v>
      </c>
      <c r="C61" s="50"/>
      <c r="D61" s="53" t="s">
        <v>109</v>
      </c>
      <c r="E61" s="56">
        <v>41748</v>
      </c>
      <c r="F61" s="50"/>
      <c r="G61" s="50"/>
      <c r="H61" s="50"/>
      <c r="I61" s="50"/>
      <c r="J61" s="59"/>
      <c r="K61" s="55"/>
      <c r="L61" s="55"/>
      <c r="M61" s="55"/>
      <c r="N61" s="55"/>
    </row>
    <row r="62" spans="1:20" x14ac:dyDescent="0.3">
      <c r="A62" s="51">
        <v>60</v>
      </c>
      <c r="B62" s="51">
        <v>14009</v>
      </c>
      <c r="C62" s="50"/>
      <c r="D62" s="53" t="s">
        <v>109</v>
      </c>
      <c r="E62" s="56">
        <v>41752</v>
      </c>
      <c r="F62" s="50"/>
      <c r="G62" s="50"/>
      <c r="H62" s="50"/>
      <c r="I62" s="50"/>
      <c r="J62" s="59"/>
      <c r="K62" s="55"/>
      <c r="L62" s="55"/>
      <c r="M62" s="55"/>
      <c r="N62" s="55"/>
    </row>
    <row r="63" spans="1:20" x14ac:dyDescent="0.3">
      <c r="A63" s="51">
        <v>61</v>
      </c>
      <c r="B63" s="51">
        <v>14011</v>
      </c>
      <c r="C63" s="50"/>
      <c r="D63" s="53" t="s">
        <v>109</v>
      </c>
      <c r="E63" s="56">
        <v>41760</v>
      </c>
      <c r="F63" s="50"/>
      <c r="G63" s="50"/>
      <c r="H63" s="50"/>
      <c r="I63" s="50"/>
      <c r="J63" s="59"/>
      <c r="K63" s="55"/>
      <c r="L63" s="55"/>
      <c r="M63" s="55"/>
      <c r="N63" s="55"/>
    </row>
    <row r="64" spans="1:20" x14ac:dyDescent="0.3">
      <c r="A64" s="51">
        <v>62</v>
      </c>
      <c r="B64" s="51">
        <v>14018</v>
      </c>
      <c r="C64" s="50"/>
      <c r="D64" s="53" t="s">
        <v>109</v>
      </c>
      <c r="E64" s="56">
        <v>41772</v>
      </c>
      <c r="F64" s="50"/>
      <c r="G64" s="50"/>
      <c r="H64" s="50"/>
      <c r="I64" s="50"/>
      <c r="J64" s="59"/>
      <c r="K64" s="55"/>
      <c r="L64" s="55"/>
      <c r="M64" s="55"/>
      <c r="N64" s="55"/>
    </row>
    <row r="65" spans="1:14" x14ac:dyDescent="0.3">
      <c r="A65" s="51">
        <v>63</v>
      </c>
      <c r="B65" s="51">
        <v>1789</v>
      </c>
      <c r="C65" s="50"/>
      <c r="D65" s="53" t="s">
        <v>109</v>
      </c>
      <c r="E65" s="56">
        <v>41961</v>
      </c>
      <c r="F65" s="50"/>
      <c r="G65" s="50"/>
      <c r="H65" s="50"/>
      <c r="I65" s="50"/>
      <c r="J65" s="59"/>
      <c r="K65" s="55"/>
      <c r="L65" s="55"/>
      <c r="M65" s="55"/>
      <c r="N65" s="55"/>
    </row>
    <row r="66" spans="1:14" x14ac:dyDescent="0.3">
      <c r="A66" s="51">
        <v>64</v>
      </c>
      <c r="B66" s="51">
        <v>1866</v>
      </c>
      <c r="C66" s="50"/>
      <c r="D66" s="53" t="s">
        <v>109</v>
      </c>
      <c r="E66" s="56">
        <v>41971</v>
      </c>
      <c r="F66" s="50"/>
      <c r="G66" s="50"/>
      <c r="H66" s="50"/>
      <c r="I66" s="50"/>
      <c r="J66" s="59"/>
      <c r="K66" s="55"/>
      <c r="L66" s="55"/>
      <c r="M66" s="55"/>
      <c r="N66" s="55"/>
    </row>
    <row r="67" spans="1:14" x14ac:dyDescent="0.3">
      <c r="A67" s="51">
        <v>65</v>
      </c>
      <c r="B67" s="51">
        <v>1883</v>
      </c>
      <c r="C67" s="50"/>
      <c r="D67" s="53" t="s">
        <v>109</v>
      </c>
      <c r="E67" s="56">
        <v>42020</v>
      </c>
      <c r="F67" s="50"/>
      <c r="G67" s="50"/>
      <c r="H67" s="50"/>
      <c r="I67" s="50"/>
      <c r="J67" s="59"/>
      <c r="K67" s="55"/>
      <c r="L67" s="55"/>
      <c r="M67" s="55"/>
      <c r="N67" s="55"/>
    </row>
    <row r="68" spans="1:14" x14ac:dyDescent="0.3">
      <c r="A68" s="51">
        <v>66</v>
      </c>
      <c r="B68" s="51">
        <v>1067</v>
      </c>
      <c r="C68" s="50"/>
      <c r="D68" s="53" t="s">
        <v>109</v>
      </c>
      <c r="E68" s="56">
        <v>42160</v>
      </c>
      <c r="F68" s="50"/>
      <c r="G68" s="50"/>
      <c r="H68" s="50"/>
      <c r="I68" s="50"/>
      <c r="J68" s="59"/>
      <c r="K68" s="55"/>
      <c r="L68" s="55"/>
      <c r="M68" s="55"/>
      <c r="N68" s="55"/>
    </row>
    <row r="69" spans="1:14" x14ac:dyDescent="0.3">
      <c r="A69" s="51">
        <v>67</v>
      </c>
      <c r="B69" s="51">
        <v>7040018</v>
      </c>
      <c r="C69" s="50"/>
      <c r="D69" s="53" t="s">
        <v>109</v>
      </c>
      <c r="E69" s="56">
        <v>42136</v>
      </c>
      <c r="F69" s="50"/>
      <c r="G69" s="50"/>
      <c r="H69" s="50"/>
      <c r="I69" s="50"/>
      <c r="J69" s="59"/>
      <c r="K69" s="55"/>
      <c r="L69" s="55"/>
      <c r="M69" s="55"/>
      <c r="N69" s="55"/>
    </row>
    <row r="70" spans="1:14" x14ac:dyDescent="0.3">
      <c r="A70" s="51">
        <v>68</v>
      </c>
      <c r="B70" s="51">
        <v>7040026</v>
      </c>
      <c r="C70" s="50"/>
      <c r="D70" s="53" t="s">
        <v>109</v>
      </c>
      <c r="E70" s="56">
        <v>42226</v>
      </c>
      <c r="F70" s="50"/>
      <c r="G70" s="50"/>
      <c r="H70" s="50"/>
      <c r="I70" s="50"/>
      <c r="J70" s="59"/>
      <c r="K70" s="55"/>
      <c r="L70" s="55"/>
      <c r="M70" s="55"/>
      <c r="N70" s="55"/>
    </row>
    <row r="71" spans="1:14" x14ac:dyDescent="0.3">
      <c r="A71" s="51"/>
      <c r="B71" s="51"/>
      <c r="C71" s="50"/>
      <c r="D71" s="53"/>
      <c r="E71" s="56"/>
      <c r="F71" s="50"/>
      <c r="G71" s="50"/>
      <c r="H71" s="50"/>
      <c r="I71" s="50"/>
      <c r="J71" s="59"/>
      <c r="K71" s="55"/>
      <c r="L71" s="55"/>
      <c r="M71" s="55"/>
      <c r="N71" s="55"/>
    </row>
    <row r="72" spans="1:14" x14ac:dyDescent="0.3">
      <c r="A72" s="51">
        <v>69</v>
      </c>
      <c r="B72" s="51">
        <v>764</v>
      </c>
      <c r="C72" s="50"/>
      <c r="D72" s="53" t="s">
        <v>109</v>
      </c>
      <c r="E72" s="56">
        <v>43037</v>
      </c>
      <c r="F72" s="50"/>
      <c r="G72" s="50"/>
      <c r="H72" s="50"/>
      <c r="I72" s="50"/>
      <c r="J72" s="59"/>
      <c r="K72" s="55"/>
      <c r="L72" s="55"/>
      <c r="M72" s="55"/>
      <c r="N72" s="55"/>
    </row>
    <row r="73" spans="1:14" x14ac:dyDescent="0.3">
      <c r="A73" s="51">
        <v>70</v>
      </c>
      <c r="B73" s="51">
        <v>777</v>
      </c>
      <c r="C73" s="50"/>
      <c r="D73" s="53" t="s">
        <v>109</v>
      </c>
      <c r="E73" s="56">
        <v>43141</v>
      </c>
      <c r="F73" s="50"/>
      <c r="G73" s="50"/>
      <c r="H73" s="50"/>
      <c r="I73" s="50"/>
      <c r="J73" s="59"/>
      <c r="K73" s="55"/>
      <c r="L73" s="55"/>
      <c r="M73" s="55"/>
      <c r="N73" s="55"/>
    </row>
    <row r="74" spans="1:14" x14ac:dyDescent="0.3">
      <c r="A74" s="51">
        <v>71</v>
      </c>
      <c r="B74" s="51">
        <v>779</v>
      </c>
      <c r="C74" s="50"/>
      <c r="D74" s="53" t="s">
        <v>108</v>
      </c>
      <c r="E74" s="56">
        <v>43166</v>
      </c>
      <c r="F74" s="50"/>
      <c r="G74" s="50"/>
      <c r="H74" s="50"/>
      <c r="I74" s="50"/>
      <c r="J74" s="59"/>
      <c r="K74" s="55"/>
      <c r="L74" s="55"/>
      <c r="M74" s="55"/>
      <c r="N74" s="55"/>
    </row>
    <row r="75" spans="1:14" x14ac:dyDescent="0.3">
      <c r="A75" s="51">
        <v>72</v>
      </c>
      <c r="B75" s="51">
        <v>780</v>
      </c>
      <c r="C75" s="50"/>
      <c r="D75" s="53" t="s">
        <v>109</v>
      </c>
      <c r="E75" s="56">
        <v>43178</v>
      </c>
      <c r="F75" s="50"/>
      <c r="G75" s="50"/>
      <c r="H75" s="50"/>
      <c r="I75" s="50"/>
      <c r="J75" s="59"/>
      <c r="K75" s="55"/>
      <c r="L75" s="55"/>
      <c r="M75" s="55"/>
      <c r="N75" s="55"/>
    </row>
    <row r="76" spans="1:14" x14ac:dyDescent="0.3">
      <c r="A76" s="51">
        <v>73</v>
      </c>
      <c r="B76" s="51">
        <v>782</v>
      </c>
      <c r="C76" s="50"/>
      <c r="D76" s="53" t="s">
        <v>109</v>
      </c>
      <c r="E76" s="56">
        <v>43187</v>
      </c>
      <c r="F76" s="50"/>
      <c r="G76" s="50"/>
      <c r="H76" s="50"/>
      <c r="I76" s="50"/>
      <c r="J76" s="59"/>
      <c r="K76" s="55"/>
      <c r="L76" s="55"/>
      <c r="M76" s="55"/>
      <c r="N76" s="55"/>
    </row>
    <row r="77" spans="1:14" x14ac:dyDescent="0.3">
      <c r="A77" s="51">
        <v>74</v>
      </c>
      <c r="B77" s="51">
        <v>783</v>
      </c>
      <c r="C77" s="50"/>
      <c r="D77" s="53" t="s">
        <v>109</v>
      </c>
      <c r="E77" s="56">
        <v>43192</v>
      </c>
      <c r="F77" s="50"/>
      <c r="G77" s="50"/>
      <c r="H77" s="50"/>
      <c r="I77" s="50"/>
      <c r="J77" s="59"/>
      <c r="K77" s="55"/>
      <c r="L77" s="55"/>
      <c r="M77" s="55"/>
      <c r="N77" s="55"/>
    </row>
    <row r="78" spans="1:14" x14ac:dyDescent="0.3">
      <c r="A78" s="51">
        <v>75</v>
      </c>
      <c r="B78" s="51">
        <v>785</v>
      </c>
      <c r="C78" s="50"/>
      <c r="D78" s="53" t="s">
        <v>109</v>
      </c>
      <c r="E78" s="56">
        <v>43240</v>
      </c>
      <c r="F78" s="50"/>
      <c r="G78" s="50"/>
      <c r="H78" s="50"/>
      <c r="I78" s="50"/>
      <c r="J78" s="59"/>
      <c r="K78" s="55"/>
      <c r="L78" s="55"/>
      <c r="M78" s="55"/>
      <c r="N78" s="55"/>
    </row>
    <row r="79" spans="1:14" x14ac:dyDescent="0.3">
      <c r="A79" s="51">
        <v>76</v>
      </c>
      <c r="B79" s="51">
        <v>786</v>
      </c>
      <c r="C79" s="50"/>
      <c r="D79" s="53" t="s">
        <v>109</v>
      </c>
      <c r="E79" s="56">
        <v>43240</v>
      </c>
      <c r="F79" s="50"/>
      <c r="G79" s="50"/>
      <c r="H79" s="50"/>
      <c r="I79" s="50"/>
      <c r="J79" s="59"/>
      <c r="K79" s="55"/>
      <c r="L79" s="55"/>
      <c r="M79" s="55"/>
      <c r="N79" s="55"/>
    </row>
    <row r="80" spans="1:14" x14ac:dyDescent="0.3">
      <c r="A80" s="51">
        <v>77</v>
      </c>
      <c r="B80" s="51">
        <v>789</v>
      </c>
      <c r="C80" s="50"/>
      <c r="D80" s="53" t="s">
        <v>109</v>
      </c>
      <c r="E80" s="56">
        <v>43263</v>
      </c>
      <c r="F80" s="50"/>
      <c r="G80" s="50"/>
      <c r="H80" s="50"/>
      <c r="I80" s="50"/>
      <c r="J80" s="59"/>
      <c r="K80" s="55"/>
      <c r="L80" s="55"/>
      <c r="M80" s="55"/>
      <c r="N80" s="55"/>
    </row>
    <row r="81" spans="1:14" x14ac:dyDescent="0.3">
      <c r="A81" s="51">
        <v>78</v>
      </c>
      <c r="B81" s="51">
        <v>790</v>
      </c>
      <c r="C81" s="50"/>
      <c r="D81" s="53" t="s">
        <v>109</v>
      </c>
      <c r="E81" s="56">
        <v>43271</v>
      </c>
      <c r="F81" s="50"/>
      <c r="G81" s="50"/>
      <c r="H81" s="50"/>
      <c r="I81" s="50"/>
      <c r="J81" s="59"/>
      <c r="K81" s="55"/>
      <c r="L81" s="55"/>
      <c r="M81" s="55"/>
      <c r="N81" s="55"/>
    </row>
    <row r="82" spans="1:14" x14ac:dyDescent="0.3">
      <c r="A82" s="51">
        <v>79</v>
      </c>
      <c r="B82" s="51">
        <v>796</v>
      </c>
      <c r="C82" s="50"/>
      <c r="D82" s="53" t="s">
        <v>109</v>
      </c>
      <c r="E82" s="56">
        <v>43507</v>
      </c>
      <c r="F82" s="50"/>
      <c r="G82" s="50"/>
      <c r="H82" s="50"/>
      <c r="I82" s="50"/>
      <c r="J82" s="59"/>
      <c r="K82" s="55"/>
      <c r="L82" s="55"/>
      <c r="M82" s="55"/>
      <c r="N82" s="55"/>
    </row>
    <row r="83" spans="1:14" x14ac:dyDescent="0.3">
      <c r="A83" s="51">
        <v>80</v>
      </c>
      <c r="B83" s="51">
        <v>797</v>
      </c>
      <c r="C83" s="50"/>
      <c r="D83" s="53" t="s">
        <v>108</v>
      </c>
      <c r="E83" s="56">
        <v>43559</v>
      </c>
      <c r="F83" s="50"/>
      <c r="G83" s="50"/>
      <c r="H83" s="50"/>
      <c r="I83" s="50"/>
      <c r="J83" s="59"/>
      <c r="K83" s="55"/>
      <c r="L83" s="55"/>
      <c r="M83" s="55"/>
      <c r="N83" s="55"/>
    </row>
    <row r="84" spans="1:14" x14ac:dyDescent="0.3">
      <c r="A84" s="51">
        <v>81</v>
      </c>
      <c r="B84" s="51">
        <v>799</v>
      </c>
      <c r="C84" s="50"/>
      <c r="D84" s="53" t="s">
        <v>108</v>
      </c>
      <c r="E84" s="56">
        <v>43559</v>
      </c>
      <c r="F84" s="50"/>
      <c r="G84" s="50"/>
      <c r="H84" s="50"/>
      <c r="I84" s="50"/>
      <c r="J84" s="59"/>
      <c r="K84" s="55"/>
      <c r="L84" s="55"/>
      <c r="M84" s="55"/>
      <c r="N84" s="55"/>
    </row>
    <row r="85" spans="1:14" x14ac:dyDescent="0.3">
      <c r="A85" s="51">
        <v>82</v>
      </c>
      <c r="B85" s="51">
        <v>800</v>
      </c>
      <c r="C85" s="50"/>
      <c r="D85" s="53" t="s">
        <v>109</v>
      </c>
      <c r="E85" s="56">
        <v>43584</v>
      </c>
      <c r="F85" s="50"/>
      <c r="G85" s="50"/>
      <c r="H85" s="50"/>
      <c r="I85" s="50"/>
      <c r="J85" s="59"/>
      <c r="K85" s="55"/>
      <c r="L85" s="55"/>
      <c r="M85" s="55"/>
      <c r="N85" s="55"/>
    </row>
    <row r="86" spans="1:14" x14ac:dyDescent="0.3">
      <c r="A86" s="51">
        <v>83</v>
      </c>
      <c r="B86" s="51">
        <v>801</v>
      </c>
      <c r="C86" s="50"/>
      <c r="D86" s="53" t="s">
        <v>109</v>
      </c>
      <c r="E86" s="56">
        <v>43624</v>
      </c>
      <c r="F86" s="50"/>
      <c r="G86" s="50"/>
      <c r="H86" s="50"/>
      <c r="I86" s="50"/>
      <c r="J86" s="59"/>
      <c r="K86" s="55"/>
      <c r="L86" s="55"/>
      <c r="M86" s="55"/>
      <c r="N86" s="55"/>
    </row>
    <row r="87" spans="1:14" x14ac:dyDescent="0.3">
      <c r="A87" s="51">
        <v>84</v>
      </c>
      <c r="B87" s="51">
        <v>802</v>
      </c>
      <c r="C87" s="50"/>
      <c r="D87" s="53" t="s">
        <v>109</v>
      </c>
      <c r="E87" s="56">
        <v>43646</v>
      </c>
      <c r="F87" s="50"/>
      <c r="G87" s="50"/>
      <c r="H87" s="50"/>
      <c r="I87" s="50"/>
      <c r="J87" s="59"/>
      <c r="K87" s="55"/>
      <c r="L87" s="55"/>
      <c r="M87" s="55"/>
      <c r="N87" s="55"/>
    </row>
    <row r="88" spans="1:14" x14ac:dyDescent="0.3">
      <c r="A88" s="51">
        <v>85</v>
      </c>
      <c r="B88" s="51">
        <v>806</v>
      </c>
      <c r="C88" s="50"/>
      <c r="D88" s="53" t="s">
        <v>109</v>
      </c>
      <c r="E88" s="56">
        <v>43804</v>
      </c>
      <c r="F88" s="50"/>
      <c r="G88" s="50"/>
      <c r="H88" s="50"/>
      <c r="I88" s="50"/>
      <c r="J88" s="59"/>
      <c r="K88" s="55"/>
      <c r="L88" s="55"/>
      <c r="M88" s="55"/>
      <c r="N88" s="55"/>
    </row>
    <row r="89" spans="1:14" x14ac:dyDescent="0.3">
      <c r="A89" s="51">
        <v>86</v>
      </c>
      <c r="B89" s="51">
        <v>809</v>
      </c>
      <c r="C89" s="50"/>
      <c r="D89" s="53" t="s">
        <v>109</v>
      </c>
      <c r="E89" s="56">
        <v>43806</v>
      </c>
      <c r="F89" s="50"/>
      <c r="G89" s="50"/>
      <c r="H89" s="50"/>
      <c r="I89" s="50"/>
      <c r="J89" s="59"/>
      <c r="K89" s="55"/>
      <c r="L89" s="55"/>
      <c r="M89" s="55"/>
      <c r="N89" s="55"/>
    </row>
    <row r="90" spans="1:14" x14ac:dyDescent="0.3">
      <c r="A90" s="51">
        <v>87</v>
      </c>
      <c r="B90" s="51">
        <v>810</v>
      </c>
      <c r="C90" s="50"/>
      <c r="D90" s="53" t="s">
        <v>109</v>
      </c>
      <c r="E90" s="56">
        <v>43807</v>
      </c>
      <c r="F90" s="50"/>
      <c r="G90" s="50"/>
      <c r="H90" s="50"/>
      <c r="I90" s="50"/>
      <c r="J90" s="59"/>
      <c r="K90" s="55"/>
      <c r="L90" s="55"/>
      <c r="M90" s="55"/>
      <c r="N90" s="55"/>
    </row>
    <row r="91" spans="1:14" x14ac:dyDescent="0.3">
      <c r="A91" s="51">
        <v>88</v>
      </c>
      <c r="B91" s="51">
        <v>811</v>
      </c>
      <c r="C91" s="50"/>
      <c r="D91" s="53" t="s">
        <v>109</v>
      </c>
      <c r="E91" s="56">
        <v>43807</v>
      </c>
      <c r="F91" s="50"/>
      <c r="G91" s="50"/>
      <c r="H91" s="50"/>
      <c r="I91" s="50"/>
      <c r="J91" s="59"/>
      <c r="K91" s="55"/>
      <c r="L91" s="55"/>
      <c r="M91" s="55"/>
      <c r="N91" s="55"/>
    </row>
    <row r="92" spans="1:14" x14ac:dyDescent="0.3">
      <c r="A92" s="51">
        <v>89</v>
      </c>
      <c r="B92" s="51">
        <v>812</v>
      </c>
      <c r="C92" s="50"/>
      <c r="D92" s="53" t="s">
        <v>109</v>
      </c>
      <c r="E92" s="56">
        <v>43809</v>
      </c>
      <c r="F92" s="50"/>
      <c r="G92" s="50"/>
      <c r="H92" s="50"/>
      <c r="I92" s="50"/>
      <c r="J92" s="59"/>
      <c r="K92" s="55"/>
      <c r="L92" s="55"/>
      <c r="M92" s="55"/>
      <c r="N92" s="55"/>
    </row>
    <row r="93" spans="1:14" x14ac:dyDescent="0.3">
      <c r="A93" s="51">
        <v>90</v>
      </c>
      <c r="B93" s="51">
        <v>814</v>
      </c>
      <c r="C93" s="50"/>
      <c r="D93" s="53" t="s">
        <v>110</v>
      </c>
      <c r="E93" s="56">
        <v>43811</v>
      </c>
      <c r="F93" s="50"/>
      <c r="G93" s="50"/>
      <c r="H93" s="50"/>
      <c r="I93" s="50"/>
      <c r="J93" s="59"/>
      <c r="K93" s="55"/>
      <c r="L93" s="55"/>
      <c r="M93" s="55"/>
      <c r="N93" s="55"/>
    </row>
    <row r="94" spans="1:14" x14ac:dyDescent="0.3">
      <c r="A94" s="51">
        <v>91</v>
      </c>
      <c r="B94" s="51">
        <v>815</v>
      </c>
      <c r="C94" s="50"/>
      <c r="D94" s="53" t="s">
        <v>110</v>
      </c>
      <c r="E94" s="56">
        <v>43811</v>
      </c>
      <c r="F94" s="50"/>
      <c r="G94" s="50"/>
      <c r="H94" s="50"/>
      <c r="I94" s="50"/>
      <c r="J94" s="59"/>
      <c r="K94" s="55"/>
      <c r="L94" s="55"/>
      <c r="M94" s="55"/>
      <c r="N94" s="55"/>
    </row>
    <row r="95" spans="1:14" x14ac:dyDescent="0.3">
      <c r="A95" s="51">
        <v>92</v>
      </c>
      <c r="B95" s="51">
        <v>816</v>
      </c>
      <c r="C95" s="50"/>
      <c r="D95" s="53" t="s">
        <v>109</v>
      </c>
      <c r="E95" s="56">
        <v>43812</v>
      </c>
      <c r="F95" s="50"/>
      <c r="G95" s="50"/>
      <c r="H95" s="50"/>
      <c r="I95" s="50"/>
      <c r="J95" s="59"/>
      <c r="K95" s="55"/>
      <c r="L95" s="55"/>
      <c r="M95" s="55"/>
      <c r="N95" s="55"/>
    </row>
    <row r="96" spans="1:14" x14ac:dyDescent="0.3">
      <c r="A96" s="51">
        <v>93</v>
      </c>
      <c r="B96" s="51">
        <v>818</v>
      </c>
      <c r="C96" s="50"/>
      <c r="D96" s="53" t="s">
        <v>109</v>
      </c>
      <c r="E96" s="56">
        <v>43814</v>
      </c>
      <c r="F96" s="50"/>
      <c r="G96" s="50"/>
      <c r="H96" s="50"/>
      <c r="I96" s="50"/>
      <c r="J96" s="59"/>
      <c r="K96" s="55"/>
      <c r="L96" s="55"/>
      <c r="M96" s="55"/>
      <c r="N96" s="55"/>
    </row>
    <row r="97" spans="1:14" x14ac:dyDescent="0.3">
      <c r="A97" s="51">
        <v>94</v>
      </c>
      <c r="B97" s="51">
        <v>819</v>
      </c>
      <c r="C97" s="50"/>
      <c r="D97" s="53" t="s">
        <v>109</v>
      </c>
      <c r="E97" s="56">
        <v>43815</v>
      </c>
      <c r="F97" s="50"/>
      <c r="G97" s="50"/>
      <c r="H97" s="50"/>
      <c r="I97" s="50"/>
      <c r="J97" s="59"/>
      <c r="K97" s="55"/>
      <c r="L97" s="55"/>
      <c r="M97" s="55"/>
      <c r="N97" s="55"/>
    </row>
    <row r="98" spans="1:14" x14ac:dyDescent="0.3">
      <c r="A98" s="51">
        <v>95</v>
      </c>
      <c r="B98" s="51">
        <v>820</v>
      </c>
      <c r="C98" s="50"/>
      <c r="D98" s="53" t="s">
        <v>109</v>
      </c>
      <c r="E98" s="56">
        <v>43816</v>
      </c>
      <c r="F98" s="50"/>
      <c r="G98" s="50"/>
      <c r="H98" s="50"/>
      <c r="I98" s="50"/>
      <c r="J98" s="59"/>
      <c r="K98" s="55"/>
      <c r="L98" s="55"/>
      <c r="M98" s="55"/>
      <c r="N98" s="55"/>
    </row>
    <row r="99" spans="1:14" x14ac:dyDescent="0.3">
      <c r="A99" s="51">
        <v>96</v>
      </c>
      <c r="B99" s="51">
        <v>824</v>
      </c>
      <c r="C99" s="50"/>
      <c r="D99" s="53" t="s">
        <v>109</v>
      </c>
      <c r="E99" s="56">
        <v>43819</v>
      </c>
      <c r="F99" s="50"/>
      <c r="G99" s="50"/>
      <c r="H99" s="50"/>
      <c r="I99" s="50"/>
      <c r="J99" s="59"/>
      <c r="K99" s="55"/>
      <c r="L99" s="55"/>
      <c r="M99" s="55"/>
      <c r="N99" s="55"/>
    </row>
    <row r="100" spans="1:14" x14ac:dyDescent="0.3">
      <c r="A100" s="51">
        <v>97</v>
      </c>
      <c r="B100" s="51">
        <v>826</v>
      </c>
      <c r="C100" s="50"/>
      <c r="D100" s="53" t="s">
        <v>109</v>
      </c>
      <c r="E100" s="56">
        <v>43821</v>
      </c>
      <c r="F100" s="50"/>
      <c r="G100" s="50"/>
      <c r="H100" s="50"/>
      <c r="I100" s="50"/>
      <c r="J100" s="59"/>
      <c r="K100" s="55"/>
      <c r="L100" s="55"/>
      <c r="M100" s="55"/>
      <c r="N100" s="55"/>
    </row>
    <row r="101" spans="1:14" x14ac:dyDescent="0.3">
      <c r="A101" s="51">
        <v>98</v>
      </c>
      <c r="B101" s="51"/>
      <c r="C101" s="50"/>
      <c r="D101" s="53"/>
      <c r="E101" s="56"/>
      <c r="F101" s="50"/>
      <c r="G101" s="50"/>
      <c r="H101" s="50"/>
      <c r="I101" s="50"/>
      <c r="J101" s="59"/>
      <c r="K101" s="55"/>
      <c r="L101" s="55"/>
      <c r="M101" s="55"/>
      <c r="N101" s="55"/>
    </row>
    <row r="102" spans="1:14" x14ac:dyDescent="0.3">
      <c r="A102" s="51">
        <v>99</v>
      </c>
      <c r="B102" s="51"/>
      <c r="C102" s="50"/>
      <c r="D102" s="53"/>
      <c r="E102" s="56"/>
      <c r="F102" s="50"/>
      <c r="G102" s="50"/>
      <c r="H102" s="50"/>
      <c r="I102" s="50"/>
      <c r="J102" s="59"/>
      <c r="K102" s="55"/>
      <c r="L102" s="55"/>
      <c r="M102" s="55"/>
      <c r="N102" s="55"/>
    </row>
    <row r="103" spans="1:14" x14ac:dyDescent="0.3">
      <c r="A103" s="51">
        <v>100</v>
      </c>
      <c r="B103" s="51"/>
      <c r="C103" s="50"/>
      <c r="D103" s="53"/>
      <c r="E103" s="56"/>
      <c r="F103" s="50"/>
      <c r="G103" s="50"/>
      <c r="H103" s="50"/>
      <c r="I103" s="50"/>
      <c r="J103" s="59"/>
      <c r="K103" s="55"/>
      <c r="L103" s="55"/>
      <c r="M103" s="55"/>
      <c r="N103" s="55"/>
    </row>
    <row r="104" spans="1:14" x14ac:dyDescent="0.3">
      <c r="A104" s="51">
        <v>101</v>
      </c>
      <c r="B104" s="51"/>
      <c r="C104" s="50"/>
      <c r="D104" s="53"/>
      <c r="E104" s="56"/>
      <c r="F104" s="50"/>
      <c r="G104" s="50"/>
      <c r="H104" s="50"/>
      <c r="I104" s="50"/>
      <c r="J104" s="59"/>
      <c r="K104" s="55"/>
      <c r="L104" s="55"/>
      <c r="M104" s="55"/>
      <c r="N104" s="55"/>
    </row>
    <row r="105" spans="1:14" x14ac:dyDescent="0.3">
      <c r="A105" s="51">
        <v>102</v>
      </c>
      <c r="B105" s="51"/>
      <c r="C105" s="50"/>
      <c r="D105" s="53"/>
      <c r="E105" s="56"/>
      <c r="F105" s="50"/>
      <c r="G105" s="50"/>
      <c r="H105" s="50"/>
      <c r="I105" s="50"/>
      <c r="J105" s="59"/>
      <c r="K105" s="55"/>
      <c r="L105" s="55"/>
      <c r="M105" s="55"/>
      <c r="N105" s="55"/>
    </row>
    <row r="106" spans="1:14" x14ac:dyDescent="0.3">
      <c r="A106" s="51">
        <v>103</v>
      </c>
      <c r="B106" s="51"/>
      <c r="C106" s="50"/>
      <c r="D106" s="53"/>
      <c r="E106" s="56"/>
      <c r="F106" s="50"/>
      <c r="G106" s="50"/>
      <c r="H106" s="50"/>
      <c r="I106" s="50"/>
      <c r="J106" s="59"/>
      <c r="K106" s="55"/>
      <c r="L106" s="55"/>
      <c r="M106" s="55"/>
      <c r="N106" s="55"/>
    </row>
    <row r="107" spans="1:14" x14ac:dyDescent="0.3">
      <c r="A107" s="51">
        <v>104</v>
      </c>
      <c r="B107" s="51"/>
      <c r="C107" s="50"/>
      <c r="D107" s="53"/>
      <c r="E107" s="56"/>
      <c r="F107" s="50"/>
      <c r="G107" s="50"/>
      <c r="H107" s="50"/>
      <c r="I107" s="50"/>
      <c r="J107" s="59"/>
      <c r="K107" s="55"/>
      <c r="L107" s="55"/>
      <c r="M107" s="55"/>
      <c r="N107" s="55"/>
    </row>
    <row r="108" spans="1:14" x14ac:dyDescent="0.3">
      <c r="A108" s="51">
        <v>105</v>
      </c>
      <c r="B108" s="51"/>
      <c r="C108" s="50"/>
      <c r="D108" s="53"/>
      <c r="E108" s="56"/>
      <c r="F108" s="50"/>
      <c r="G108" s="50"/>
      <c r="H108" s="50"/>
      <c r="I108" s="50"/>
      <c r="J108" s="59"/>
      <c r="K108" s="55"/>
      <c r="L108" s="55"/>
      <c r="M108" s="55"/>
      <c r="N108" s="55"/>
    </row>
    <row r="109" spans="1:14" x14ac:dyDescent="0.3">
      <c r="A109" s="51">
        <v>106</v>
      </c>
      <c r="B109" s="51"/>
      <c r="C109" s="50"/>
      <c r="D109" s="53"/>
      <c r="E109" s="56"/>
      <c r="F109" s="50"/>
      <c r="G109" s="50"/>
      <c r="H109" s="50"/>
      <c r="I109" s="50"/>
      <c r="J109" s="59"/>
      <c r="K109" s="55"/>
      <c r="L109" s="55"/>
      <c r="M109" s="55"/>
      <c r="N109" s="55"/>
    </row>
    <row r="110" spans="1:14" x14ac:dyDescent="0.3">
      <c r="A110" s="51">
        <v>107</v>
      </c>
      <c r="B110" s="51"/>
      <c r="C110" s="50"/>
      <c r="D110" s="53"/>
      <c r="E110" s="56"/>
      <c r="F110" s="50"/>
      <c r="G110" s="50"/>
      <c r="H110" s="50"/>
      <c r="I110" s="50"/>
      <c r="J110" s="59"/>
      <c r="K110" s="55"/>
      <c r="L110" s="55"/>
      <c r="M110" s="55"/>
      <c r="N110" s="55"/>
    </row>
    <row r="111" spans="1:14" x14ac:dyDescent="0.3">
      <c r="A111" s="51">
        <v>108</v>
      </c>
      <c r="B111" s="51"/>
      <c r="C111" s="50"/>
      <c r="D111" s="53"/>
      <c r="E111" s="56"/>
      <c r="F111" s="50"/>
      <c r="G111" s="50"/>
      <c r="H111" s="50"/>
      <c r="I111" s="50"/>
      <c r="J111" s="59"/>
      <c r="K111" s="55"/>
      <c r="L111" s="55"/>
      <c r="M111" s="55"/>
      <c r="N111" s="55"/>
    </row>
    <row r="112" spans="1:14" x14ac:dyDescent="0.3">
      <c r="A112" s="51">
        <v>109</v>
      </c>
      <c r="B112" s="51"/>
      <c r="C112" s="50"/>
      <c r="D112" s="53"/>
      <c r="E112" s="56"/>
      <c r="F112" s="50"/>
      <c r="G112" s="50"/>
      <c r="H112" s="50"/>
      <c r="I112" s="50"/>
      <c r="J112" s="59"/>
      <c r="K112" s="55"/>
      <c r="L112" s="55"/>
      <c r="M112" s="55"/>
      <c r="N112" s="55"/>
    </row>
    <row r="113" spans="1:14" x14ac:dyDescent="0.3">
      <c r="A113" s="51">
        <v>110</v>
      </c>
      <c r="B113" s="51"/>
      <c r="C113" s="50"/>
      <c r="D113" s="53"/>
      <c r="E113" s="56"/>
      <c r="F113" s="50"/>
      <c r="G113" s="50"/>
      <c r="H113" s="50"/>
      <c r="I113" s="50"/>
      <c r="J113" s="59"/>
      <c r="K113" s="55"/>
      <c r="L113" s="55"/>
      <c r="M113" s="55"/>
      <c r="N113" s="55"/>
    </row>
    <row r="114" spans="1:14" x14ac:dyDescent="0.3">
      <c r="A114" s="51">
        <v>111</v>
      </c>
      <c r="B114" s="51"/>
      <c r="C114" s="50"/>
      <c r="D114" s="53"/>
      <c r="E114" s="56"/>
      <c r="F114" s="50"/>
      <c r="G114" s="50"/>
      <c r="H114" s="50"/>
      <c r="I114" s="50"/>
      <c r="J114" s="59"/>
      <c r="K114" s="55"/>
      <c r="L114" s="55"/>
      <c r="M114" s="55"/>
      <c r="N114" s="55"/>
    </row>
    <row r="115" spans="1:14" x14ac:dyDescent="0.3">
      <c r="A115" s="51">
        <v>112</v>
      </c>
      <c r="B115" s="51"/>
      <c r="C115" s="50"/>
      <c r="D115" s="53"/>
      <c r="E115" s="56"/>
      <c r="F115" s="50"/>
      <c r="G115" s="50"/>
      <c r="H115" s="50"/>
      <c r="I115" s="50"/>
      <c r="J115" s="59"/>
      <c r="K115" s="55"/>
      <c r="L115" s="55"/>
      <c r="M115" s="55"/>
      <c r="N115" s="55"/>
    </row>
    <row r="116" spans="1:14" x14ac:dyDescent="0.3">
      <c r="A116" s="51">
        <v>113</v>
      </c>
      <c r="B116" s="51"/>
      <c r="C116" s="50"/>
      <c r="D116" s="53"/>
      <c r="E116" s="56"/>
      <c r="F116" s="50"/>
      <c r="G116" s="50"/>
      <c r="H116" s="50"/>
      <c r="I116" s="50"/>
      <c r="J116" s="59"/>
      <c r="K116" s="55"/>
      <c r="L116" s="55"/>
      <c r="M116" s="55"/>
      <c r="N116" s="55"/>
    </row>
    <row r="117" spans="1:14" x14ac:dyDescent="0.3">
      <c r="A117" s="51">
        <v>114</v>
      </c>
      <c r="B117" s="51"/>
      <c r="C117" s="50"/>
      <c r="D117" s="53"/>
      <c r="E117" s="56"/>
      <c r="F117" s="50"/>
      <c r="G117" s="50"/>
      <c r="H117" s="50"/>
      <c r="I117" s="50"/>
      <c r="J117" s="59"/>
      <c r="K117" s="55"/>
      <c r="L117" s="55"/>
      <c r="M117" s="55"/>
      <c r="N117" s="55"/>
    </row>
    <row r="118" spans="1:14" x14ac:dyDescent="0.3">
      <c r="A118" s="51">
        <v>115</v>
      </c>
      <c r="B118" s="51"/>
      <c r="C118" s="50"/>
      <c r="D118" s="53"/>
      <c r="E118" s="56"/>
      <c r="F118" s="50"/>
      <c r="G118" s="50"/>
      <c r="H118" s="50"/>
      <c r="I118" s="50"/>
      <c r="J118" s="59"/>
      <c r="K118" s="55"/>
      <c r="L118" s="55"/>
      <c r="M118" s="55"/>
      <c r="N118" s="55"/>
    </row>
    <row r="119" spans="1:14" x14ac:dyDescent="0.3">
      <c r="A119" s="51">
        <v>116</v>
      </c>
      <c r="B119" s="51"/>
      <c r="C119" s="50"/>
      <c r="D119" s="53"/>
      <c r="E119" s="56"/>
      <c r="F119" s="50"/>
      <c r="G119" s="50"/>
      <c r="H119" s="50"/>
      <c r="I119" s="50"/>
      <c r="J119" s="59"/>
      <c r="K119" s="55"/>
      <c r="L119" s="55"/>
      <c r="M119" s="55"/>
      <c r="N119" s="55"/>
    </row>
    <row r="120" spans="1:14" x14ac:dyDescent="0.3">
      <c r="A120" s="51">
        <v>117</v>
      </c>
      <c r="B120" s="51"/>
      <c r="C120" s="50"/>
      <c r="D120" s="53"/>
      <c r="E120" s="56"/>
      <c r="F120" s="50"/>
      <c r="G120" s="50"/>
      <c r="H120" s="50"/>
      <c r="I120" s="50"/>
      <c r="J120" s="59"/>
      <c r="K120" s="55"/>
      <c r="L120" s="55"/>
      <c r="M120" s="55"/>
      <c r="N120" s="55"/>
    </row>
    <row r="121" spans="1:14" x14ac:dyDescent="0.3">
      <c r="A121" s="51">
        <v>118</v>
      </c>
      <c r="B121" s="51"/>
      <c r="C121" s="50"/>
      <c r="D121" s="53"/>
      <c r="E121" s="56"/>
      <c r="F121" s="50"/>
      <c r="G121" s="50"/>
      <c r="H121" s="50"/>
      <c r="I121" s="50"/>
      <c r="J121" s="59"/>
      <c r="K121" s="55"/>
      <c r="L121" s="55"/>
      <c r="M121" s="55"/>
      <c r="N121" s="55"/>
    </row>
    <row r="122" spans="1:14" x14ac:dyDescent="0.3">
      <c r="A122" s="51">
        <v>119</v>
      </c>
      <c r="B122" s="51"/>
      <c r="C122" s="50"/>
      <c r="D122" s="53"/>
      <c r="E122" s="56"/>
      <c r="F122" s="50"/>
      <c r="G122" s="50"/>
      <c r="H122" s="50"/>
      <c r="I122" s="50"/>
      <c r="J122" s="59"/>
      <c r="K122" s="55"/>
      <c r="L122" s="55"/>
      <c r="M122" s="55"/>
      <c r="N122" s="55"/>
    </row>
    <row r="123" spans="1:14" x14ac:dyDescent="0.3">
      <c r="A123" s="51">
        <v>120</v>
      </c>
      <c r="B123" s="51"/>
      <c r="C123" s="50"/>
      <c r="D123" s="53"/>
      <c r="E123" s="56"/>
      <c r="F123" s="50"/>
      <c r="G123" s="50"/>
      <c r="H123" s="50"/>
      <c r="I123" s="50"/>
      <c r="J123" s="59"/>
      <c r="K123" s="55"/>
      <c r="L123" s="55"/>
      <c r="M123" s="55"/>
      <c r="N123" s="55"/>
    </row>
    <row r="124" spans="1:14" x14ac:dyDescent="0.3">
      <c r="A124" s="51">
        <v>121</v>
      </c>
      <c r="B124" s="51"/>
      <c r="C124" s="50"/>
      <c r="D124" s="53"/>
      <c r="E124" s="56"/>
      <c r="F124" s="50"/>
      <c r="G124" s="50"/>
      <c r="H124" s="50"/>
      <c r="I124" s="50"/>
      <c r="J124" s="59"/>
      <c r="K124" s="55"/>
      <c r="L124" s="55"/>
      <c r="M124" s="55"/>
      <c r="N124" s="55"/>
    </row>
    <row r="125" spans="1:14" x14ac:dyDescent="0.3">
      <c r="A125" s="51"/>
      <c r="B125" s="51"/>
      <c r="C125" s="50"/>
      <c r="D125" s="53"/>
      <c r="E125" s="56"/>
      <c r="F125" s="50"/>
      <c r="G125" s="50"/>
      <c r="H125" s="50"/>
      <c r="I125" s="50"/>
      <c r="J125" s="59"/>
      <c r="K125" s="55"/>
      <c r="L125" s="55"/>
      <c r="M125" s="55"/>
      <c r="N125" s="55"/>
    </row>
    <row r="126" spans="1:14" x14ac:dyDescent="0.3">
      <c r="A126" s="51"/>
      <c r="B126" s="51"/>
      <c r="C126" s="50"/>
      <c r="D126" s="53"/>
      <c r="E126" s="56"/>
      <c r="F126" s="50"/>
      <c r="G126" s="50"/>
      <c r="H126" s="50"/>
      <c r="I126" s="50"/>
      <c r="J126" s="59"/>
      <c r="K126" s="55"/>
      <c r="L126" s="55"/>
      <c r="M126" s="55"/>
      <c r="N126" s="55"/>
    </row>
    <row r="127" spans="1:14" x14ac:dyDescent="0.3">
      <c r="A127" s="51"/>
      <c r="B127" s="51"/>
      <c r="C127" s="50"/>
      <c r="D127" s="53"/>
      <c r="E127" s="56"/>
      <c r="F127" s="50"/>
      <c r="G127" s="50"/>
      <c r="H127" s="50"/>
      <c r="I127" s="50"/>
      <c r="J127" s="59"/>
      <c r="K127" s="55"/>
      <c r="L127" s="55"/>
      <c r="M127" s="55"/>
      <c r="N127" s="55"/>
    </row>
    <row r="129" spans="2:6" x14ac:dyDescent="0.3">
      <c r="B129" s="6" t="s">
        <v>125</v>
      </c>
      <c r="C129" s="6" t="s">
        <v>121</v>
      </c>
      <c r="D129" s="6" t="s">
        <v>126</v>
      </c>
      <c r="E129" s="6" t="s">
        <v>120</v>
      </c>
    </row>
    <row r="130" spans="2:6" x14ac:dyDescent="0.3">
      <c r="B130" s="6" t="s">
        <v>122</v>
      </c>
      <c r="C130" s="6" t="s">
        <v>121</v>
      </c>
      <c r="D130" s="6" t="s">
        <v>123</v>
      </c>
      <c r="E130" s="6" t="s">
        <v>124</v>
      </c>
    </row>
    <row r="131" spans="2:6" x14ac:dyDescent="0.3">
      <c r="B131" s="6" t="s">
        <v>128</v>
      </c>
      <c r="C131" s="6" t="s">
        <v>127</v>
      </c>
      <c r="D131" s="6" t="s">
        <v>131</v>
      </c>
    </row>
    <row r="132" spans="2:6" x14ac:dyDescent="0.3">
      <c r="B132" s="6" t="s">
        <v>129</v>
      </c>
      <c r="C132" s="6" t="s">
        <v>127</v>
      </c>
      <c r="D132" s="6" t="s">
        <v>130</v>
      </c>
    </row>
    <row r="135" spans="2:6" x14ac:dyDescent="0.3">
      <c r="B135" s="68" t="s">
        <v>141</v>
      </c>
      <c r="D135" s="69" t="s">
        <v>146</v>
      </c>
      <c r="E135" s="69" t="s">
        <v>144</v>
      </c>
      <c r="F135" s="69" t="s">
        <v>145</v>
      </c>
    </row>
    <row r="136" spans="2:6" x14ac:dyDescent="0.3">
      <c r="B136" s="6" t="s">
        <v>142</v>
      </c>
      <c r="D136" s="69">
        <f>SUM(D137:D138)</f>
        <v>46</v>
      </c>
      <c r="E136" s="4">
        <v>100</v>
      </c>
      <c r="F136" s="69">
        <f>SUM(F137:F138)</f>
        <v>37</v>
      </c>
    </row>
    <row r="137" spans="2:6" x14ac:dyDescent="0.3">
      <c r="C137" s="6" t="s">
        <v>143</v>
      </c>
      <c r="D137" s="4">
        <v>28</v>
      </c>
      <c r="E137" s="4">
        <v>50</v>
      </c>
      <c r="F137" s="4">
        <f>D136*50%</f>
        <v>23</v>
      </c>
    </row>
    <row r="138" spans="2:6" x14ac:dyDescent="0.3">
      <c r="C138" s="6" t="s">
        <v>118</v>
      </c>
      <c r="D138" s="4">
        <v>18</v>
      </c>
      <c r="E138" s="4">
        <v>50</v>
      </c>
      <c r="F138" s="4">
        <f>D137*50%</f>
        <v>14</v>
      </c>
    </row>
    <row r="139" spans="2:6" x14ac:dyDescent="0.3">
      <c r="E139" s="4"/>
    </row>
    <row r="140" spans="2:6" x14ac:dyDescent="0.3">
      <c r="E140" s="4"/>
    </row>
    <row r="141" spans="2:6" x14ac:dyDescent="0.3">
      <c r="C141" s="6" t="s">
        <v>147</v>
      </c>
      <c r="D141" s="69">
        <v>1</v>
      </c>
      <c r="E141" s="4">
        <v>3</v>
      </c>
      <c r="F141" s="69">
        <v>1</v>
      </c>
    </row>
    <row r="142" spans="2:6" x14ac:dyDescent="0.3">
      <c r="D142" s="4"/>
      <c r="E142" s="4"/>
    </row>
    <row r="143" spans="2:6" x14ac:dyDescent="0.3">
      <c r="B143" s="6" t="s">
        <v>148</v>
      </c>
      <c r="D143" s="69">
        <f>SUM(D144:D147)</f>
        <v>47</v>
      </c>
      <c r="E143" s="4"/>
      <c r="F143" s="71">
        <f>SUM(F144:F147)</f>
        <v>43.7</v>
      </c>
    </row>
    <row r="144" spans="2:6" x14ac:dyDescent="0.3">
      <c r="C144" s="6" t="s">
        <v>149</v>
      </c>
      <c r="D144" s="4">
        <v>19</v>
      </c>
      <c r="E144" s="4" t="s">
        <v>155</v>
      </c>
      <c r="F144" s="70">
        <f>D136*10%</f>
        <v>4.6000000000000005</v>
      </c>
    </row>
    <row r="145" spans="2:6" x14ac:dyDescent="0.3">
      <c r="C145" s="6" t="s">
        <v>150</v>
      </c>
      <c r="D145" s="4">
        <v>5</v>
      </c>
      <c r="E145" s="4">
        <v>15</v>
      </c>
      <c r="F145" s="70">
        <f>D136*15%</f>
        <v>6.8999999999999995</v>
      </c>
    </row>
    <row r="146" spans="2:6" x14ac:dyDescent="0.3">
      <c r="C146" s="6" t="s">
        <v>151</v>
      </c>
      <c r="D146" s="4">
        <v>4</v>
      </c>
      <c r="E146" s="4">
        <v>20</v>
      </c>
      <c r="F146" s="70">
        <f>D136*20%</f>
        <v>9.2000000000000011</v>
      </c>
    </row>
    <row r="147" spans="2:6" x14ac:dyDescent="0.3">
      <c r="C147" s="6" t="s">
        <v>152</v>
      </c>
      <c r="D147" s="4">
        <v>19</v>
      </c>
      <c r="E147" s="4" t="s">
        <v>156</v>
      </c>
      <c r="F147" s="4">
        <f>D136*50%</f>
        <v>23</v>
      </c>
    </row>
    <row r="148" spans="2:6" x14ac:dyDescent="0.3">
      <c r="E148" s="4"/>
      <c r="F148" s="4"/>
    </row>
    <row r="149" spans="2:6" x14ac:dyDescent="0.3">
      <c r="D149" s="4"/>
      <c r="E149" s="4"/>
      <c r="F149" s="4"/>
    </row>
    <row r="150" spans="2:6" x14ac:dyDescent="0.3">
      <c r="B150" s="6" t="s">
        <v>153</v>
      </c>
      <c r="D150" s="69">
        <v>24</v>
      </c>
      <c r="E150" s="4" t="s">
        <v>156</v>
      </c>
      <c r="F150" s="69">
        <f>D136*50%</f>
        <v>23</v>
      </c>
    </row>
    <row r="151" spans="2:6" x14ac:dyDescent="0.3">
      <c r="D151" s="4"/>
      <c r="E151" s="4"/>
    </row>
    <row r="152" spans="2:6" x14ac:dyDescent="0.3">
      <c r="B152" s="6" t="s">
        <v>154</v>
      </c>
      <c r="D152" s="69">
        <f>D136+D141+D143+D150</f>
        <v>118</v>
      </c>
      <c r="E152" s="4"/>
      <c r="F152" s="71">
        <f>F136+F141+F143+F150</f>
        <v>104.7</v>
      </c>
    </row>
  </sheetData>
  <pageMargins left="0.7" right="0.7" top="0.75" bottom="0.75" header="0.3" footer="0.3"/>
  <pageSetup orientation="portrait" r:id="rId1"/>
  <ignoredErrors>
    <ignoredError sqref="B3:B47" numberStoredAsText="1"/>
    <ignoredError sqref="I33:I47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50"/>
  <sheetViews>
    <sheetView zoomScale="98" zoomScaleNormal="98" workbookViewId="0">
      <pane xSplit="3" ySplit="2" topLeftCell="I33" activePane="bottomRight" state="frozen"/>
      <selection pane="topRight" activeCell="D1" sqref="D1"/>
      <selection pane="bottomLeft" activeCell="A3" sqref="A3"/>
      <selection pane="bottomRight" activeCell="B48" sqref="B48"/>
    </sheetView>
  </sheetViews>
  <sheetFormatPr defaultRowHeight="14.4" x14ac:dyDescent="0.3"/>
  <cols>
    <col min="2" max="2" width="12.33203125" style="6" customWidth="1"/>
    <col min="3" max="4" width="12.109375" style="6" customWidth="1"/>
    <col min="5" max="5" width="13.5546875" style="6" bestFit="1" customWidth="1"/>
    <col min="6" max="6" width="12.109375" style="6" customWidth="1"/>
    <col min="7" max="7" width="15.5546875" style="6" bestFit="1" customWidth="1"/>
    <col min="8" max="9" width="15.5546875" style="6" customWidth="1"/>
    <col min="10" max="10" width="14.44140625" style="6" bestFit="1" customWidth="1"/>
    <col min="11" max="11" width="15.44140625" bestFit="1" customWidth="1"/>
    <col min="12" max="12" width="4.5546875" customWidth="1"/>
    <col min="13" max="13" width="9.33203125" customWidth="1"/>
    <col min="14" max="15" width="10.44140625" bestFit="1" customWidth="1"/>
    <col min="16" max="16" width="14.44140625" bestFit="1" customWidth="1"/>
    <col min="17" max="17" width="11.44140625" bestFit="1" customWidth="1"/>
    <col min="18" max="18" width="13.109375" customWidth="1"/>
    <col min="19" max="19" width="12.6640625" customWidth="1"/>
    <col min="20" max="21" width="10.44140625" bestFit="1" customWidth="1"/>
  </cols>
  <sheetData>
    <row r="1" spans="1:21" x14ac:dyDescent="0.3">
      <c r="P1" s="62">
        <v>43959</v>
      </c>
    </row>
    <row r="2" spans="1:21" x14ac:dyDescent="0.3">
      <c r="A2" s="61" t="s">
        <v>0</v>
      </c>
      <c r="B2" s="61" t="s">
        <v>1</v>
      </c>
      <c r="C2" s="61" t="s">
        <v>2</v>
      </c>
      <c r="D2" s="61" t="s">
        <v>104</v>
      </c>
      <c r="E2" s="61" t="s">
        <v>100</v>
      </c>
      <c r="F2" s="61" t="s">
        <v>101</v>
      </c>
      <c r="G2" s="61" t="s">
        <v>102</v>
      </c>
      <c r="H2" s="61" t="s">
        <v>116</v>
      </c>
      <c r="I2" s="61" t="s">
        <v>117</v>
      </c>
      <c r="J2" s="61" t="s">
        <v>103</v>
      </c>
      <c r="K2" s="61" t="s">
        <v>158</v>
      </c>
      <c r="L2" s="61"/>
      <c r="M2" s="61" t="s">
        <v>106</v>
      </c>
      <c r="N2" s="61" t="s">
        <v>99</v>
      </c>
      <c r="O2" s="61"/>
      <c r="P2" s="61" t="s">
        <v>159</v>
      </c>
      <c r="Q2" s="67" t="s">
        <v>97</v>
      </c>
      <c r="R2" s="66" t="s">
        <v>118</v>
      </c>
    </row>
    <row r="3" spans="1:21" x14ac:dyDescent="0.3">
      <c r="A3" s="51">
        <v>1</v>
      </c>
      <c r="B3" s="52" t="s">
        <v>69</v>
      </c>
      <c r="C3" s="53" t="s">
        <v>70</v>
      </c>
      <c r="D3" s="53" t="s">
        <v>105</v>
      </c>
      <c r="E3" s="56">
        <v>41554</v>
      </c>
      <c r="F3" s="64">
        <v>1</v>
      </c>
      <c r="G3" s="64">
        <v>202</v>
      </c>
      <c r="H3" s="64">
        <v>1500</v>
      </c>
      <c r="I3" s="63">
        <f>H3/G3</f>
        <v>7.4257425742574261</v>
      </c>
      <c r="J3" s="58">
        <v>0</v>
      </c>
      <c r="K3" s="55">
        <v>43568</v>
      </c>
      <c r="L3" s="55"/>
      <c r="M3" s="55" t="s">
        <v>157</v>
      </c>
      <c r="N3" s="55"/>
      <c r="O3" s="62"/>
      <c r="P3" s="81">
        <v>7</v>
      </c>
      <c r="Q3" s="62">
        <f t="shared" ref="Q3:Q21" si="0">(280-(P3*30))+$P$1</f>
        <v>44029</v>
      </c>
      <c r="S3" s="62">
        <f>K3+300</f>
        <v>43868</v>
      </c>
      <c r="T3" s="62"/>
      <c r="U3" s="62"/>
    </row>
    <row r="4" spans="1:21" x14ac:dyDescent="0.3">
      <c r="A4" s="51">
        <v>2</v>
      </c>
      <c r="B4" s="52" t="s">
        <v>14</v>
      </c>
      <c r="C4" s="53" t="s">
        <v>13</v>
      </c>
      <c r="D4" s="53" t="s">
        <v>109</v>
      </c>
      <c r="E4" s="56">
        <v>39368</v>
      </c>
      <c r="F4" s="64">
        <v>5</v>
      </c>
      <c r="G4" s="64">
        <v>0</v>
      </c>
      <c r="H4" s="64"/>
      <c r="I4" s="63" t="e">
        <f>H4/G4</f>
        <v>#DIV/0!</v>
      </c>
      <c r="J4" s="58">
        <v>326</v>
      </c>
      <c r="K4" s="55">
        <v>43664</v>
      </c>
      <c r="L4" s="55"/>
      <c r="M4" s="55" t="s">
        <v>157</v>
      </c>
      <c r="N4" s="55"/>
      <c r="O4" s="62"/>
      <c r="P4" s="81">
        <v>5</v>
      </c>
      <c r="Q4" s="62">
        <f t="shared" si="0"/>
        <v>44089</v>
      </c>
      <c r="S4" s="62">
        <f t="shared" ref="S4:S49" si="1">K4+300</f>
        <v>43964</v>
      </c>
      <c r="T4" s="62"/>
      <c r="U4" s="62">
        <v>43859</v>
      </c>
    </row>
    <row r="5" spans="1:21" x14ac:dyDescent="0.3">
      <c r="A5" s="51">
        <v>3</v>
      </c>
      <c r="B5" s="52" t="s">
        <v>81</v>
      </c>
      <c r="C5" s="53" t="s">
        <v>82</v>
      </c>
      <c r="D5" s="53" t="s">
        <v>109</v>
      </c>
      <c r="E5" s="56">
        <v>40230</v>
      </c>
      <c r="F5" s="64">
        <v>4</v>
      </c>
      <c r="G5" s="64">
        <v>293</v>
      </c>
      <c r="H5" s="64">
        <v>2878</v>
      </c>
      <c r="I5" s="63">
        <f>H5/G5</f>
        <v>9.8225255972696246</v>
      </c>
      <c r="J5" s="58">
        <v>585</v>
      </c>
      <c r="K5" s="55">
        <v>43584</v>
      </c>
      <c r="L5" s="55"/>
      <c r="M5" s="55" t="s">
        <v>157</v>
      </c>
      <c r="N5" s="55"/>
      <c r="O5" s="62"/>
      <c r="P5" s="81">
        <v>5</v>
      </c>
      <c r="Q5" s="62">
        <f t="shared" si="0"/>
        <v>44089</v>
      </c>
      <c r="S5" s="62">
        <f t="shared" si="1"/>
        <v>43884</v>
      </c>
      <c r="T5" s="62"/>
      <c r="U5" s="62">
        <v>43868</v>
      </c>
    </row>
    <row r="6" spans="1:21" x14ac:dyDescent="0.3">
      <c r="A6" s="51">
        <v>4</v>
      </c>
      <c r="B6" s="52" t="s">
        <v>136</v>
      </c>
      <c r="C6" s="53"/>
      <c r="D6" s="53" t="s">
        <v>109</v>
      </c>
      <c r="E6" s="56">
        <v>41431</v>
      </c>
      <c r="F6" s="64"/>
      <c r="G6" s="64"/>
      <c r="H6" s="64"/>
      <c r="I6" s="63"/>
      <c r="J6" s="58"/>
      <c r="K6" s="55"/>
      <c r="L6" s="55"/>
      <c r="M6" s="55" t="s">
        <v>157</v>
      </c>
      <c r="N6" s="55"/>
      <c r="O6" s="62"/>
      <c r="P6" s="81">
        <v>4</v>
      </c>
      <c r="Q6" s="62">
        <f t="shared" si="0"/>
        <v>44119</v>
      </c>
      <c r="S6" s="62"/>
      <c r="T6" s="62"/>
      <c r="U6" s="62">
        <v>43884</v>
      </c>
    </row>
    <row r="7" spans="1:21" s="92" customFormat="1" x14ac:dyDescent="0.3">
      <c r="A7" s="51">
        <v>5</v>
      </c>
      <c r="B7" s="52" t="s">
        <v>88</v>
      </c>
      <c r="C7" s="53" t="s">
        <v>89</v>
      </c>
      <c r="D7" s="60" t="s">
        <v>105</v>
      </c>
      <c r="E7" s="56">
        <v>41072</v>
      </c>
      <c r="F7" s="64">
        <v>5</v>
      </c>
      <c r="G7" s="64">
        <v>375</v>
      </c>
      <c r="H7" s="64">
        <v>2446.5</v>
      </c>
      <c r="I7" s="63">
        <f>H7/G7</f>
        <v>6.524</v>
      </c>
      <c r="J7" s="58">
        <v>668</v>
      </c>
      <c r="K7" s="55">
        <v>43783</v>
      </c>
      <c r="L7" s="55"/>
      <c r="M7" s="55" t="s">
        <v>157</v>
      </c>
      <c r="N7" s="55"/>
      <c r="O7" s="62"/>
      <c r="P7" s="81">
        <v>3.5</v>
      </c>
      <c r="Q7" s="62">
        <f t="shared" si="0"/>
        <v>44134</v>
      </c>
      <c r="R7"/>
      <c r="S7" s="62">
        <f t="shared" si="1"/>
        <v>44083</v>
      </c>
      <c r="T7" s="90"/>
      <c r="U7" s="62">
        <v>43924</v>
      </c>
    </row>
    <row r="8" spans="1:21" x14ac:dyDescent="0.3">
      <c r="A8" s="51">
        <v>6</v>
      </c>
      <c r="B8" s="52" t="s">
        <v>132</v>
      </c>
      <c r="C8" s="53"/>
      <c r="D8" s="53" t="s">
        <v>109</v>
      </c>
      <c r="E8" s="56">
        <v>41287</v>
      </c>
      <c r="F8" s="64"/>
      <c r="G8" s="64"/>
      <c r="H8" s="64"/>
      <c r="I8" s="63"/>
      <c r="J8" s="58"/>
      <c r="K8" s="55"/>
      <c r="L8" s="55"/>
      <c r="M8" s="55" t="s">
        <v>157</v>
      </c>
      <c r="N8" s="55"/>
      <c r="O8" s="62"/>
      <c r="P8" s="81">
        <v>3</v>
      </c>
      <c r="Q8" s="62">
        <f t="shared" si="0"/>
        <v>44149</v>
      </c>
      <c r="S8" s="62"/>
      <c r="T8" s="62"/>
      <c r="U8" s="62">
        <v>43946</v>
      </c>
    </row>
    <row r="9" spans="1:21" x14ac:dyDescent="0.3">
      <c r="A9" s="51">
        <v>7</v>
      </c>
      <c r="B9" s="52" t="s">
        <v>24</v>
      </c>
      <c r="C9" s="53" t="s">
        <v>25</v>
      </c>
      <c r="D9" s="53" t="s">
        <v>105</v>
      </c>
      <c r="E9" s="56">
        <v>41496</v>
      </c>
      <c r="F9" s="64">
        <v>2</v>
      </c>
      <c r="G9" s="64">
        <v>373</v>
      </c>
      <c r="H9" s="64">
        <v>2400</v>
      </c>
      <c r="I9" s="63">
        <f t="shared" ref="I9:I45" si="2">H9/G9</f>
        <v>6.4343163538873993</v>
      </c>
      <c r="J9" s="58">
        <v>619</v>
      </c>
      <c r="K9" s="55">
        <v>43806</v>
      </c>
      <c r="L9" s="55"/>
      <c r="M9" s="55" t="s">
        <v>157</v>
      </c>
      <c r="N9" s="55"/>
      <c r="P9" s="81">
        <v>2</v>
      </c>
      <c r="Q9" s="62">
        <f t="shared" si="0"/>
        <v>44179</v>
      </c>
      <c r="R9" s="62"/>
      <c r="S9" s="62">
        <f t="shared" si="1"/>
        <v>44106</v>
      </c>
      <c r="T9" s="62"/>
      <c r="U9" s="62">
        <v>43958</v>
      </c>
    </row>
    <row r="10" spans="1:21" x14ac:dyDescent="0.3">
      <c r="A10" s="51">
        <v>8</v>
      </c>
      <c r="B10" s="52" t="s">
        <v>33</v>
      </c>
      <c r="C10" s="53" t="s">
        <v>34</v>
      </c>
      <c r="D10" s="53" t="s">
        <v>105</v>
      </c>
      <c r="E10" s="56">
        <v>39613</v>
      </c>
      <c r="F10" s="64">
        <v>6</v>
      </c>
      <c r="G10" s="64">
        <v>324</v>
      </c>
      <c r="H10" s="64">
        <v>2300</v>
      </c>
      <c r="I10" s="63">
        <f t="shared" si="2"/>
        <v>7.0987654320987659</v>
      </c>
      <c r="J10" s="58">
        <v>482</v>
      </c>
      <c r="K10" s="55">
        <v>43814</v>
      </c>
      <c r="L10" s="55"/>
      <c r="M10" s="55" t="s">
        <v>157</v>
      </c>
      <c r="N10" s="55"/>
      <c r="O10" s="62"/>
      <c r="P10" s="81">
        <v>2</v>
      </c>
      <c r="Q10" s="62">
        <f t="shared" si="0"/>
        <v>44179</v>
      </c>
      <c r="S10" s="62">
        <f t="shared" si="1"/>
        <v>44114</v>
      </c>
      <c r="T10" s="62"/>
      <c r="U10" s="62">
        <v>43964</v>
      </c>
    </row>
    <row r="11" spans="1:21" x14ac:dyDescent="0.3">
      <c r="A11" s="51">
        <v>9</v>
      </c>
      <c r="B11" s="52" t="s">
        <v>35</v>
      </c>
      <c r="C11" s="53" t="s">
        <v>36</v>
      </c>
      <c r="D11" s="53" t="s">
        <v>105</v>
      </c>
      <c r="E11" s="56">
        <v>41009</v>
      </c>
      <c r="F11" s="64">
        <v>5</v>
      </c>
      <c r="G11" s="64">
        <v>262</v>
      </c>
      <c r="H11" s="64">
        <v>1664.5</v>
      </c>
      <c r="I11" s="63">
        <f t="shared" si="2"/>
        <v>6.3530534351145036</v>
      </c>
      <c r="J11" s="58">
        <v>654</v>
      </c>
      <c r="K11" s="55">
        <v>43818</v>
      </c>
      <c r="L11" s="55"/>
      <c r="M11" s="55" t="s">
        <v>157</v>
      </c>
      <c r="N11" s="55"/>
      <c r="O11" s="62"/>
      <c r="P11" s="81">
        <v>2</v>
      </c>
      <c r="Q11" s="62">
        <f t="shared" si="0"/>
        <v>44179</v>
      </c>
      <c r="S11" s="62">
        <f t="shared" si="1"/>
        <v>44118</v>
      </c>
      <c r="T11" s="62"/>
      <c r="U11" s="90">
        <v>44083</v>
      </c>
    </row>
    <row r="12" spans="1:21" x14ac:dyDescent="0.3">
      <c r="A12" s="51">
        <v>10</v>
      </c>
      <c r="B12" s="52" t="s">
        <v>41</v>
      </c>
      <c r="C12" s="53" t="s">
        <v>42</v>
      </c>
      <c r="D12" s="53" t="s">
        <v>105</v>
      </c>
      <c r="E12" s="56">
        <v>41496</v>
      </c>
      <c r="F12" s="64">
        <v>2</v>
      </c>
      <c r="G12" s="64">
        <v>386</v>
      </c>
      <c r="H12" s="64">
        <v>2387</v>
      </c>
      <c r="I12" s="63">
        <f t="shared" si="2"/>
        <v>6.1839378238341967</v>
      </c>
      <c r="J12" s="58">
        <v>666</v>
      </c>
      <c r="K12" s="55">
        <v>43807</v>
      </c>
      <c r="L12" s="55"/>
      <c r="M12" s="55" t="s">
        <v>157</v>
      </c>
      <c r="N12" s="55"/>
      <c r="O12" s="62"/>
      <c r="P12" s="81">
        <v>1.5</v>
      </c>
      <c r="Q12" s="62">
        <f t="shared" si="0"/>
        <v>44194</v>
      </c>
      <c r="S12" s="62">
        <f t="shared" si="1"/>
        <v>44107</v>
      </c>
      <c r="T12" s="62"/>
      <c r="U12" s="62">
        <v>44104</v>
      </c>
    </row>
    <row r="13" spans="1:21" x14ac:dyDescent="0.3">
      <c r="A13" s="51">
        <v>11</v>
      </c>
      <c r="B13" s="52" t="s">
        <v>53</v>
      </c>
      <c r="C13" s="53" t="s">
        <v>54</v>
      </c>
      <c r="D13" s="53" t="s">
        <v>105</v>
      </c>
      <c r="E13" s="56">
        <v>40308</v>
      </c>
      <c r="F13" s="64">
        <v>7</v>
      </c>
      <c r="G13" s="64">
        <v>275</v>
      </c>
      <c r="H13" s="64">
        <v>2228</v>
      </c>
      <c r="I13" s="63">
        <f t="shared" si="2"/>
        <v>8.1018181818181816</v>
      </c>
      <c r="J13" s="58">
        <v>391</v>
      </c>
      <c r="K13" s="55">
        <v>43854</v>
      </c>
      <c r="L13" s="55"/>
      <c r="M13" s="55" t="s">
        <v>157</v>
      </c>
      <c r="N13" s="55"/>
      <c r="O13" s="62"/>
      <c r="P13" s="81">
        <f>45/30</f>
        <v>1.5</v>
      </c>
      <c r="Q13" s="62">
        <f t="shared" si="0"/>
        <v>44194</v>
      </c>
      <c r="S13" s="62">
        <f t="shared" si="1"/>
        <v>44154</v>
      </c>
      <c r="T13" s="62"/>
      <c r="U13" s="62">
        <v>44104</v>
      </c>
    </row>
    <row r="14" spans="1:21" x14ac:dyDescent="0.3">
      <c r="A14" s="51">
        <v>12</v>
      </c>
      <c r="B14" s="52" t="s">
        <v>55</v>
      </c>
      <c r="C14" s="53" t="s">
        <v>56</v>
      </c>
      <c r="D14" s="53" t="s">
        <v>109</v>
      </c>
      <c r="E14" s="56">
        <v>41106</v>
      </c>
      <c r="F14" s="64">
        <v>2</v>
      </c>
      <c r="G14" s="64">
        <v>353</v>
      </c>
      <c r="H14" s="64">
        <v>2286</v>
      </c>
      <c r="I14" s="63">
        <f t="shared" si="2"/>
        <v>6.475920679886686</v>
      </c>
      <c r="J14" s="58">
        <v>703</v>
      </c>
      <c r="K14" s="55">
        <v>43834</v>
      </c>
      <c r="L14" s="55"/>
      <c r="M14" s="55" t="s">
        <v>157</v>
      </c>
      <c r="N14" s="55"/>
      <c r="O14" s="62"/>
      <c r="P14" s="81">
        <f>45/30</f>
        <v>1.5</v>
      </c>
      <c r="Q14" s="62">
        <f t="shared" si="0"/>
        <v>44194</v>
      </c>
      <c r="S14" s="62">
        <f t="shared" si="1"/>
        <v>44134</v>
      </c>
      <c r="T14" s="62"/>
      <c r="U14" s="62">
        <v>44105</v>
      </c>
    </row>
    <row r="15" spans="1:21" x14ac:dyDescent="0.3">
      <c r="A15" s="51">
        <v>13</v>
      </c>
      <c r="B15" s="52" t="s">
        <v>83</v>
      </c>
      <c r="C15" s="53" t="s">
        <v>84</v>
      </c>
      <c r="D15" s="53" t="s">
        <v>108</v>
      </c>
      <c r="E15" s="56">
        <v>41246</v>
      </c>
      <c r="F15" s="64">
        <v>2</v>
      </c>
      <c r="G15" s="64">
        <v>279</v>
      </c>
      <c r="H15" s="64">
        <v>2266</v>
      </c>
      <c r="I15" s="63">
        <f t="shared" si="2"/>
        <v>8.1218637992831546</v>
      </c>
      <c r="J15" s="58">
        <v>720</v>
      </c>
      <c r="K15" s="55">
        <v>43559</v>
      </c>
      <c r="L15" s="55"/>
      <c r="M15" s="55" t="s">
        <v>157</v>
      </c>
      <c r="N15" s="55"/>
      <c r="O15" s="62"/>
      <c r="P15" s="81">
        <f>45/30</f>
        <v>1.5</v>
      </c>
      <c r="Q15" s="62">
        <f t="shared" si="0"/>
        <v>44194</v>
      </c>
      <c r="S15" s="62">
        <f t="shared" si="1"/>
        <v>43859</v>
      </c>
      <c r="T15" s="62"/>
      <c r="U15" s="62">
        <v>44106</v>
      </c>
    </row>
    <row r="16" spans="1:21" x14ac:dyDescent="0.3">
      <c r="A16" s="51">
        <v>14</v>
      </c>
      <c r="B16" s="52" t="s">
        <v>114</v>
      </c>
      <c r="C16" s="53" t="s">
        <v>115</v>
      </c>
      <c r="D16" s="53" t="s">
        <v>109</v>
      </c>
      <c r="E16" s="56">
        <v>41491</v>
      </c>
      <c r="F16" s="64">
        <v>3</v>
      </c>
      <c r="G16" s="64">
        <v>334</v>
      </c>
      <c r="H16" s="64">
        <v>2328</v>
      </c>
      <c r="I16" s="63">
        <f t="shared" si="2"/>
        <v>6.9700598802395213</v>
      </c>
      <c r="J16" s="58">
        <v>814</v>
      </c>
      <c r="K16" s="55">
        <v>43811</v>
      </c>
      <c r="L16" s="55"/>
      <c r="M16" s="55" t="s">
        <v>157</v>
      </c>
      <c r="N16" s="55"/>
      <c r="O16" s="62"/>
      <c r="P16" s="81">
        <f>40/30</f>
        <v>1.3333333333333333</v>
      </c>
      <c r="Q16" s="62">
        <f t="shared" si="0"/>
        <v>44199</v>
      </c>
      <c r="S16" s="62">
        <f t="shared" si="1"/>
        <v>44111</v>
      </c>
      <c r="T16" s="62"/>
      <c r="U16" s="62">
        <v>44107</v>
      </c>
    </row>
    <row r="17" spans="1:21" x14ac:dyDescent="0.3">
      <c r="A17" s="51">
        <v>15</v>
      </c>
      <c r="B17" s="52" t="s">
        <v>43</v>
      </c>
      <c r="C17" s="53" t="s">
        <v>44</v>
      </c>
      <c r="D17" s="53" t="s">
        <v>109</v>
      </c>
      <c r="E17" s="56">
        <v>40863</v>
      </c>
      <c r="F17" s="64">
        <v>3</v>
      </c>
      <c r="G17" s="64">
        <v>0</v>
      </c>
      <c r="H17" s="64">
        <v>0</v>
      </c>
      <c r="I17" s="63" t="e">
        <f t="shared" si="2"/>
        <v>#DIV/0!</v>
      </c>
      <c r="J17" s="58">
        <v>973</v>
      </c>
      <c r="K17" s="55">
        <v>43847</v>
      </c>
      <c r="L17" s="55"/>
      <c r="M17" s="55" t="s">
        <v>157</v>
      </c>
      <c r="N17" s="55"/>
      <c r="O17" s="62"/>
      <c r="P17" s="81">
        <f>35/30</f>
        <v>1.1666666666666667</v>
      </c>
      <c r="Q17" s="62">
        <f t="shared" si="0"/>
        <v>44204</v>
      </c>
      <c r="S17" s="62">
        <f t="shared" si="1"/>
        <v>44147</v>
      </c>
      <c r="T17" s="62"/>
      <c r="U17" s="62">
        <v>44107</v>
      </c>
    </row>
    <row r="18" spans="1:21" x14ac:dyDescent="0.3">
      <c r="A18" s="51">
        <v>16</v>
      </c>
      <c r="B18" s="52" t="s">
        <v>77</v>
      </c>
      <c r="C18" s="53" t="s">
        <v>78</v>
      </c>
      <c r="D18" s="53" t="s">
        <v>109</v>
      </c>
      <c r="E18" s="56">
        <v>41007</v>
      </c>
      <c r="F18" s="64">
        <v>5</v>
      </c>
      <c r="G18" s="64">
        <v>313</v>
      </c>
      <c r="H18" s="64">
        <v>2034</v>
      </c>
      <c r="I18" s="63">
        <f t="shared" si="2"/>
        <v>6.4984025559105429</v>
      </c>
      <c r="J18" s="58">
        <v>447</v>
      </c>
      <c r="K18" s="55">
        <v>43646</v>
      </c>
      <c r="L18" s="55"/>
      <c r="M18" s="55" t="s">
        <v>157</v>
      </c>
      <c r="N18" s="55"/>
      <c r="O18" s="62"/>
      <c r="P18" s="81">
        <f>35/30</f>
        <v>1.1666666666666667</v>
      </c>
      <c r="Q18" s="62">
        <f t="shared" si="0"/>
        <v>44204</v>
      </c>
      <c r="S18" s="62">
        <f t="shared" si="1"/>
        <v>43946</v>
      </c>
      <c r="T18" s="62"/>
      <c r="U18" s="62">
        <v>44109</v>
      </c>
    </row>
    <row r="19" spans="1:21" x14ac:dyDescent="0.3">
      <c r="A19" s="51">
        <v>17</v>
      </c>
      <c r="B19" s="52" t="s">
        <v>3</v>
      </c>
      <c r="C19" s="53" t="s">
        <v>4</v>
      </c>
      <c r="D19" s="53" t="s">
        <v>105</v>
      </c>
      <c r="E19" s="56">
        <v>41524</v>
      </c>
      <c r="F19" s="64">
        <v>1</v>
      </c>
      <c r="G19" s="64">
        <v>238</v>
      </c>
      <c r="H19" s="64">
        <v>1294</v>
      </c>
      <c r="I19" s="63">
        <f t="shared" si="2"/>
        <v>5.4369747899159666</v>
      </c>
      <c r="J19" s="58">
        <v>1222</v>
      </c>
      <c r="K19" s="55">
        <v>42756</v>
      </c>
      <c r="L19" s="55"/>
      <c r="M19" s="55" t="s">
        <v>157</v>
      </c>
      <c r="N19" s="55"/>
      <c r="O19" s="62"/>
      <c r="P19" s="81">
        <v>1</v>
      </c>
      <c r="Q19" s="62">
        <f t="shared" si="0"/>
        <v>44209</v>
      </c>
      <c r="S19" s="62"/>
      <c r="T19" s="62"/>
      <c r="U19" s="62">
        <v>44110</v>
      </c>
    </row>
    <row r="20" spans="1:21" x14ac:dyDescent="0.3">
      <c r="A20" s="51">
        <v>18</v>
      </c>
      <c r="B20" s="52" t="s">
        <v>75</v>
      </c>
      <c r="C20" s="53" t="s">
        <v>76</v>
      </c>
      <c r="D20" s="53" t="s">
        <v>109</v>
      </c>
      <c r="E20" s="56">
        <v>41092</v>
      </c>
      <c r="F20" s="64">
        <v>3</v>
      </c>
      <c r="G20" s="64">
        <v>288</v>
      </c>
      <c r="H20" s="64">
        <v>1720</v>
      </c>
      <c r="I20" s="63">
        <f t="shared" si="2"/>
        <v>5.9722222222222223</v>
      </c>
      <c r="J20" s="58">
        <v>387</v>
      </c>
      <c r="K20" s="55">
        <v>43658</v>
      </c>
      <c r="L20" s="55"/>
      <c r="M20" s="55" t="s">
        <v>157</v>
      </c>
      <c r="N20" s="55"/>
      <c r="O20" s="62"/>
      <c r="P20" s="81">
        <v>1</v>
      </c>
      <c r="Q20" s="62">
        <f t="shared" si="0"/>
        <v>44209</v>
      </c>
      <c r="S20" s="62">
        <f t="shared" si="1"/>
        <v>43958</v>
      </c>
      <c r="T20" s="62"/>
      <c r="U20" s="62">
        <v>44111</v>
      </c>
    </row>
    <row r="21" spans="1:21" x14ac:dyDescent="0.3">
      <c r="A21" s="51">
        <v>19</v>
      </c>
      <c r="B21" s="52" t="s">
        <v>79</v>
      </c>
      <c r="C21" s="53" t="s">
        <v>80</v>
      </c>
      <c r="D21" s="53" t="s">
        <v>105</v>
      </c>
      <c r="E21" s="56">
        <v>39290</v>
      </c>
      <c r="F21" s="64">
        <v>6</v>
      </c>
      <c r="G21" s="64">
        <v>283</v>
      </c>
      <c r="H21" s="64">
        <v>2022</v>
      </c>
      <c r="I21" s="63">
        <f t="shared" si="2"/>
        <v>7.1448763250883394</v>
      </c>
      <c r="J21" s="58">
        <v>558</v>
      </c>
      <c r="K21" s="55">
        <v>43624</v>
      </c>
      <c r="L21" s="55"/>
      <c r="M21" s="55" t="s">
        <v>157</v>
      </c>
      <c r="N21" s="55"/>
      <c r="O21" s="62"/>
      <c r="P21" s="81">
        <v>1</v>
      </c>
      <c r="Q21" s="62">
        <f t="shared" si="0"/>
        <v>44209</v>
      </c>
      <c r="S21" s="62">
        <f t="shared" si="1"/>
        <v>43924</v>
      </c>
      <c r="T21" s="62"/>
      <c r="U21" s="62">
        <v>44111</v>
      </c>
    </row>
    <row r="22" spans="1:21" x14ac:dyDescent="0.3">
      <c r="A22" s="51">
        <v>20</v>
      </c>
      <c r="B22" s="52" t="s">
        <v>19</v>
      </c>
      <c r="C22" s="53" t="s">
        <v>20</v>
      </c>
      <c r="D22" s="53" t="s">
        <v>109</v>
      </c>
      <c r="E22" s="56">
        <v>41010</v>
      </c>
      <c r="F22" s="64">
        <v>3</v>
      </c>
      <c r="G22" s="64">
        <v>302</v>
      </c>
      <c r="H22" s="64">
        <v>2347</v>
      </c>
      <c r="I22" s="63">
        <f t="shared" si="2"/>
        <v>7.7715231788079473</v>
      </c>
      <c r="J22" s="58">
        <v>541</v>
      </c>
      <c r="K22" s="55">
        <v>43804</v>
      </c>
      <c r="L22" s="55"/>
      <c r="M22" s="55" t="s">
        <v>160</v>
      </c>
      <c r="N22" s="55">
        <v>43959</v>
      </c>
      <c r="O22" s="62"/>
      <c r="P22" s="81"/>
      <c r="Q22" s="62"/>
      <c r="S22" s="62">
        <f t="shared" si="1"/>
        <v>44104</v>
      </c>
      <c r="T22" s="62"/>
      <c r="U22" s="62">
        <v>44112</v>
      </c>
    </row>
    <row r="23" spans="1:21" x14ac:dyDescent="0.3">
      <c r="A23" s="51">
        <v>21</v>
      </c>
      <c r="B23" s="52" t="s">
        <v>21</v>
      </c>
      <c r="C23" s="53" t="s">
        <v>22</v>
      </c>
      <c r="D23" s="53" t="s">
        <v>109</v>
      </c>
      <c r="E23" s="56">
        <v>41477</v>
      </c>
      <c r="F23" s="64">
        <v>2</v>
      </c>
      <c r="G23" s="64">
        <v>375</v>
      </c>
      <c r="H23" s="64">
        <v>2687</v>
      </c>
      <c r="I23" s="63">
        <f t="shared" si="2"/>
        <v>7.1653333333333338</v>
      </c>
      <c r="J23" s="58">
        <v>665</v>
      </c>
      <c r="K23" s="55">
        <v>43804</v>
      </c>
      <c r="L23" s="55"/>
      <c r="M23" s="55" t="s">
        <v>160</v>
      </c>
      <c r="N23" s="55">
        <v>43959</v>
      </c>
      <c r="O23" s="62"/>
      <c r="P23" s="81"/>
      <c r="Q23" s="62"/>
      <c r="S23" s="62">
        <f t="shared" si="1"/>
        <v>44104</v>
      </c>
      <c r="T23" s="62"/>
      <c r="U23" s="62">
        <v>44112</v>
      </c>
    </row>
    <row r="24" spans="1:21" x14ac:dyDescent="0.3">
      <c r="A24" s="51">
        <v>22</v>
      </c>
      <c r="B24" s="83" t="s">
        <v>9</v>
      </c>
      <c r="C24" s="84" t="s">
        <v>10</v>
      </c>
      <c r="D24" s="84" t="s">
        <v>105</v>
      </c>
      <c r="E24" s="85">
        <v>38545</v>
      </c>
      <c r="F24" s="86">
        <v>7</v>
      </c>
      <c r="G24" s="86">
        <v>338</v>
      </c>
      <c r="H24" s="86">
        <v>2366</v>
      </c>
      <c r="I24" s="87">
        <f t="shared" si="2"/>
        <v>7</v>
      </c>
      <c r="J24" s="88">
        <v>548</v>
      </c>
      <c r="K24" s="89">
        <v>43805</v>
      </c>
      <c r="L24" s="89"/>
      <c r="M24" s="55" t="s">
        <v>160</v>
      </c>
      <c r="N24" s="55">
        <v>43959</v>
      </c>
      <c r="O24" s="90"/>
      <c r="P24" s="91"/>
      <c r="Q24" s="90"/>
      <c r="R24" s="92"/>
      <c r="S24" s="62">
        <f t="shared" si="1"/>
        <v>44105</v>
      </c>
      <c r="T24" s="62"/>
      <c r="U24" s="62">
        <v>44114</v>
      </c>
    </row>
    <row r="25" spans="1:21" x14ac:dyDescent="0.3">
      <c r="A25" s="51">
        <v>23</v>
      </c>
      <c r="B25" s="52" t="s">
        <v>11</v>
      </c>
      <c r="C25" s="53" t="s">
        <v>12</v>
      </c>
      <c r="D25" s="53" t="s">
        <v>105</v>
      </c>
      <c r="E25" s="56">
        <v>39459</v>
      </c>
      <c r="F25" s="64">
        <v>5</v>
      </c>
      <c r="G25" s="64">
        <v>303</v>
      </c>
      <c r="H25" s="64">
        <v>1481</v>
      </c>
      <c r="I25" s="63">
        <f t="shared" si="2"/>
        <v>4.887788778877888</v>
      </c>
      <c r="J25" s="58">
        <v>970</v>
      </c>
      <c r="K25" s="55">
        <v>43807</v>
      </c>
      <c r="L25" s="55"/>
      <c r="M25" s="55" t="s">
        <v>160</v>
      </c>
      <c r="N25" s="55">
        <v>43959</v>
      </c>
      <c r="O25" s="62"/>
      <c r="P25" s="81"/>
      <c r="Q25" s="62"/>
      <c r="S25" s="62">
        <f t="shared" si="1"/>
        <v>44107</v>
      </c>
      <c r="T25" s="62"/>
      <c r="U25" s="62">
        <v>44115</v>
      </c>
    </row>
    <row r="26" spans="1:21" x14ac:dyDescent="0.3">
      <c r="A26" s="51">
        <v>24</v>
      </c>
      <c r="B26" s="52" t="s">
        <v>61</v>
      </c>
      <c r="C26" s="53" t="s">
        <v>62</v>
      </c>
      <c r="D26" s="53" t="s">
        <v>105</v>
      </c>
      <c r="E26" s="56">
        <v>40281</v>
      </c>
      <c r="F26" s="64">
        <v>6</v>
      </c>
      <c r="G26" s="64">
        <v>352</v>
      </c>
      <c r="H26" s="64">
        <v>2467</v>
      </c>
      <c r="I26" s="63">
        <f t="shared" si="2"/>
        <v>7.0085227272727275</v>
      </c>
      <c r="J26" s="58">
        <v>530</v>
      </c>
      <c r="K26" s="55">
        <v>43809</v>
      </c>
      <c r="L26" s="55"/>
      <c r="M26" s="55" t="s">
        <v>160</v>
      </c>
      <c r="N26" s="55">
        <v>43959</v>
      </c>
      <c r="O26" s="62"/>
      <c r="P26" s="81"/>
      <c r="Q26" s="62"/>
      <c r="S26" s="62">
        <f t="shared" si="1"/>
        <v>44109</v>
      </c>
      <c r="T26" s="62"/>
      <c r="U26" s="62">
        <v>44116</v>
      </c>
    </row>
    <row r="27" spans="1:21" x14ac:dyDescent="0.3">
      <c r="A27" s="51">
        <v>25</v>
      </c>
      <c r="B27" s="52" t="s">
        <v>57</v>
      </c>
      <c r="C27" s="53" t="s">
        <v>58</v>
      </c>
      <c r="D27" s="53" t="s">
        <v>109</v>
      </c>
      <c r="E27" s="56">
        <v>41247</v>
      </c>
      <c r="F27" s="64">
        <v>2</v>
      </c>
      <c r="G27" s="64">
        <v>310</v>
      </c>
      <c r="H27" s="64">
        <v>2046.5</v>
      </c>
      <c r="I27" s="63">
        <f t="shared" si="2"/>
        <v>6.6016129032258064</v>
      </c>
      <c r="J27" s="58">
        <v>632</v>
      </c>
      <c r="K27" s="55">
        <v>43810</v>
      </c>
      <c r="L27" s="55"/>
      <c r="M27" s="55" t="s">
        <v>160</v>
      </c>
      <c r="N27" s="55">
        <v>43959</v>
      </c>
      <c r="O27" s="62"/>
      <c r="P27" s="81"/>
      <c r="Q27" s="62"/>
      <c r="S27" s="62">
        <f t="shared" si="1"/>
        <v>44110</v>
      </c>
      <c r="T27" s="62"/>
      <c r="U27" s="62">
        <v>44116</v>
      </c>
    </row>
    <row r="28" spans="1:21" x14ac:dyDescent="0.3">
      <c r="A28" s="51">
        <v>26</v>
      </c>
      <c r="B28" s="52" t="s">
        <v>63</v>
      </c>
      <c r="C28" s="53" t="s">
        <v>64</v>
      </c>
      <c r="D28" s="53" t="s">
        <v>109</v>
      </c>
      <c r="E28" s="56">
        <v>41183</v>
      </c>
      <c r="F28" s="64">
        <v>2</v>
      </c>
      <c r="G28" s="64">
        <v>334</v>
      </c>
      <c r="H28" s="64">
        <v>2185</v>
      </c>
      <c r="I28" s="63">
        <f t="shared" si="2"/>
        <v>6.5419161676646711</v>
      </c>
      <c r="J28" s="58">
        <v>633</v>
      </c>
      <c r="K28" s="55">
        <v>43811</v>
      </c>
      <c r="L28" s="55"/>
      <c r="M28" s="55" t="s">
        <v>160</v>
      </c>
      <c r="N28" s="55">
        <v>43959</v>
      </c>
      <c r="O28" s="62"/>
      <c r="P28" s="81"/>
      <c r="Q28" s="62"/>
      <c r="S28" s="62">
        <f t="shared" si="1"/>
        <v>44111</v>
      </c>
      <c r="T28" s="62"/>
      <c r="U28" s="62">
        <v>44118</v>
      </c>
    </row>
    <row r="29" spans="1:21" x14ac:dyDescent="0.3">
      <c r="A29" s="51">
        <v>27</v>
      </c>
      <c r="B29" s="52" t="s">
        <v>112</v>
      </c>
      <c r="C29" s="53" t="s">
        <v>46</v>
      </c>
      <c r="D29" s="53" t="s">
        <v>113</v>
      </c>
      <c r="E29" s="56">
        <v>40676</v>
      </c>
      <c r="F29" s="64">
        <v>6</v>
      </c>
      <c r="G29" s="64">
        <v>377</v>
      </c>
      <c r="H29" s="64">
        <v>2825</v>
      </c>
      <c r="I29" s="63">
        <f t="shared" si="2"/>
        <v>7.4933687002652523</v>
      </c>
      <c r="J29" s="58">
        <v>646</v>
      </c>
      <c r="K29" s="55">
        <v>43812</v>
      </c>
      <c r="L29" s="55"/>
      <c r="M29" s="55" t="s">
        <v>160</v>
      </c>
      <c r="N29" s="55">
        <v>43959</v>
      </c>
      <c r="O29" s="62"/>
      <c r="P29" s="81"/>
      <c r="Q29" s="62"/>
      <c r="S29" s="62">
        <f t="shared" si="1"/>
        <v>44112</v>
      </c>
      <c r="T29" s="62"/>
      <c r="U29" s="62">
        <v>44118</v>
      </c>
    </row>
    <row r="30" spans="1:21" x14ac:dyDescent="0.3">
      <c r="A30" s="51">
        <v>28</v>
      </c>
      <c r="B30" s="52" t="s">
        <v>23</v>
      </c>
      <c r="C30" s="53" t="s">
        <v>26</v>
      </c>
      <c r="D30" s="53"/>
      <c r="E30" s="56">
        <v>41565</v>
      </c>
      <c r="F30" s="64">
        <v>2</v>
      </c>
      <c r="G30" s="64">
        <v>379</v>
      </c>
      <c r="H30" s="64">
        <v>2353</v>
      </c>
      <c r="I30" s="63">
        <f t="shared" si="2"/>
        <v>6.20844327176781</v>
      </c>
      <c r="J30" s="58">
        <v>655</v>
      </c>
      <c r="K30" s="55">
        <v>43812</v>
      </c>
      <c r="L30" s="55"/>
      <c r="M30" s="55" t="s">
        <v>160</v>
      </c>
      <c r="N30" s="55">
        <v>43959</v>
      </c>
      <c r="O30" s="62"/>
      <c r="P30" s="81"/>
      <c r="Q30" s="62"/>
      <c r="S30" s="62">
        <f t="shared" si="1"/>
        <v>44112</v>
      </c>
      <c r="T30" s="62"/>
      <c r="U30" s="62">
        <v>44119</v>
      </c>
    </row>
    <row r="31" spans="1:21" x14ac:dyDescent="0.3">
      <c r="A31" s="51">
        <v>29</v>
      </c>
      <c r="B31" s="52" t="s">
        <v>29</v>
      </c>
      <c r="C31" s="53" t="s">
        <v>30</v>
      </c>
      <c r="D31" s="53" t="s">
        <v>109</v>
      </c>
      <c r="E31" s="56">
        <v>41249</v>
      </c>
      <c r="F31" s="64">
        <v>2</v>
      </c>
      <c r="G31" s="64">
        <v>350</v>
      </c>
      <c r="H31" s="64">
        <v>2150</v>
      </c>
      <c r="I31" s="63">
        <f t="shared" si="2"/>
        <v>6.1428571428571432</v>
      </c>
      <c r="J31" s="58">
        <v>620</v>
      </c>
      <c r="K31" s="55">
        <v>43815</v>
      </c>
      <c r="L31" s="55"/>
      <c r="M31" s="55" t="s">
        <v>160</v>
      </c>
      <c r="N31" s="55">
        <v>43959</v>
      </c>
      <c r="O31" s="62"/>
      <c r="P31" s="81"/>
      <c r="Q31" s="62"/>
      <c r="S31" s="62">
        <f t="shared" si="1"/>
        <v>44115</v>
      </c>
      <c r="T31" s="62"/>
      <c r="U31" s="62">
        <v>44120</v>
      </c>
    </row>
    <row r="32" spans="1:21" x14ac:dyDescent="0.3">
      <c r="A32" s="51">
        <v>30</v>
      </c>
      <c r="B32" s="52" t="s">
        <v>7</v>
      </c>
      <c r="C32" s="53" t="s">
        <v>8</v>
      </c>
      <c r="D32" s="53"/>
      <c r="E32" s="56">
        <v>39367</v>
      </c>
      <c r="F32" s="64">
        <v>6</v>
      </c>
      <c r="G32" s="64">
        <v>292</v>
      </c>
      <c r="H32" s="64">
        <v>1634</v>
      </c>
      <c r="I32" s="63">
        <f t="shared" si="2"/>
        <v>5.595890410958904</v>
      </c>
      <c r="J32" s="58">
        <v>897</v>
      </c>
      <c r="K32" s="55">
        <v>43816</v>
      </c>
      <c r="L32" s="55"/>
      <c r="M32" s="55" t="s">
        <v>160</v>
      </c>
      <c r="N32" s="55">
        <v>43959</v>
      </c>
      <c r="O32" s="62"/>
      <c r="P32" s="81"/>
      <c r="Q32" s="62"/>
      <c r="S32" s="62">
        <f t="shared" si="1"/>
        <v>44116</v>
      </c>
      <c r="T32" s="62"/>
      <c r="U32" s="62">
        <v>44121</v>
      </c>
    </row>
    <row r="33" spans="1:21" x14ac:dyDescent="0.3">
      <c r="A33" s="51">
        <v>31</v>
      </c>
      <c r="B33" s="52" t="s">
        <v>37</v>
      </c>
      <c r="C33" s="53" t="s">
        <v>38</v>
      </c>
      <c r="D33" s="53" t="s">
        <v>109</v>
      </c>
      <c r="E33" s="56">
        <v>41558</v>
      </c>
      <c r="F33" s="64">
        <v>3</v>
      </c>
      <c r="G33" s="64">
        <v>341</v>
      </c>
      <c r="H33" s="64">
        <v>2207</v>
      </c>
      <c r="I33" s="63">
        <f t="shared" si="2"/>
        <v>6.4721407624633427</v>
      </c>
      <c r="J33" s="58">
        <v>610</v>
      </c>
      <c r="K33" s="55">
        <v>43816</v>
      </c>
      <c r="L33" s="55"/>
      <c r="M33" s="55" t="s">
        <v>160</v>
      </c>
      <c r="N33" s="55">
        <v>43959</v>
      </c>
      <c r="O33" s="62"/>
      <c r="P33" s="81"/>
      <c r="Q33" s="62"/>
      <c r="S33" s="62">
        <f t="shared" si="1"/>
        <v>44116</v>
      </c>
      <c r="T33" s="62"/>
      <c r="U33" s="62">
        <v>44134</v>
      </c>
    </row>
    <row r="34" spans="1:21" x14ac:dyDescent="0.3">
      <c r="A34" s="51">
        <v>32</v>
      </c>
      <c r="B34" s="52" t="s">
        <v>31</v>
      </c>
      <c r="C34" s="53" t="s">
        <v>32</v>
      </c>
      <c r="D34" s="53" t="s">
        <v>109</v>
      </c>
      <c r="E34" s="56">
        <v>39094</v>
      </c>
      <c r="F34" s="64">
        <v>3</v>
      </c>
      <c r="G34" s="64">
        <v>289</v>
      </c>
      <c r="H34" s="64">
        <v>1735</v>
      </c>
      <c r="I34" s="63">
        <f t="shared" si="2"/>
        <v>6.0034602076124566</v>
      </c>
      <c r="J34" s="58">
        <v>783</v>
      </c>
      <c r="K34" s="55">
        <v>43818</v>
      </c>
      <c r="L34" s="55"/>
      <c r="M34" s="55" t="s">
        <v>160</v>
      </c>
      <c r="N34" s="55">
        <v>43959</v>
      </c>
      <c r="O34" s="62"/>
      <c r="P34" s="81"/>
      <c r="Q34" s="62"/>
      <c r="S34" s="62">
        <f t="shared" si="1"/>
        <v>44118</v>
      </c>
      <c r="T34" s="62"/>
      <c r="U34" s="62">
        <v>44138</v>
      </c>
    </row>
    <row r="35" spans="1:21" x14ac:dyDescent="0.3">
      <c r="A35" s="51">
        <v>33</v>
      </c>
      <c r="B35" s="52" t="s">
        <v>59</v>
      </c>
      <c r="C35" s="53" t="s">
        <v>60</v>
      </c>
      <c r="D35" s="53" t="s">
        <v>109</v>
      </c>
      <c r="E35" s="56">
        <v>41719</v>
      </c>
      <c r="F35" s="64">
        <v>2</v>
      </c>
      <c r="G35" s="64">
        <v>332</v>
      </c>
      <c r="H35" s="64">
        <v>2167</v>
      </c>
      <c r="I35" s="63">
        <f t="shared" si="2"/>
        <v>6.5271084337349397</v>
      </c>
      <c r="J35" s="58">
        <v>617</v>
      </c>
      <c r="K35" s="55">
        <v>43819</v>
      </c>
      <c r="L35" s="55"/>
      <c r="M35" s="55" t="s">
        <v>160</v>
      </c>
      <c r="N35" s="55">
        <v>43959</v>
      </c>
      <c r="O35" s="62"/>
      <c r="P35" s="81"/>
      <c r="Q35" s="62"/>
      <c r="S35" s="62">
        <f t="shared" si="1"/>
        <v>44119</v>
      </c>
      <c r="T35" s="62"/>
      <c r="U35" s="62">
        <v>44147</v>
      </c>
    </row>
    <row r="36" spans="1:21" x14ac:dyDescent="0.3">
      <c r="A36" s="51">
        <v>34</v>
      </c>
      <c r="B36" s="52" t="s">
        <v>15</v>
      </c>
      <c r="C36" s="53" t="s">
        <v>16</v>
      </c>
      <c r="D36" s="53" t="s">
        <v>109</v>
      </c>
      <c r="E36" s="56">
        <v>39670</v>
      </c>
      <c r="F36" s="64">
        <v>4</v>
      </c>
      <c r="G36" s="64">
        <v>261</v>
      </c>
      <c r="H36" s="64">
        <v>1563</v>
      </c>
      <c r="I36" s="63">
        <f t="shared" si="2"/>
        <v>5.9885057471264371</v>
      </c>
      <c r="J36" s="58">
        <v>522</v>
      </c>
      <c r="K36" s="55">
        <v>43821</v>
      </c>
      <c r="L36" s="55"/>
      <c r="M36" s="55" t="s">
        <v>160</v>
      </c>
      <c r="N36" s="55">
        <v>43959</v>
      </c>
      <c r="O36" s="62"/>
      <c r="P36" s="81"/>
      <c r="Q36" s="62"/>
      <c r="S36" s="62">
        <f t="shared" si="1"/>
        <v>44121</v>
      </c>
      <c r="T36" s="62"/>
      <c r="U36" s="62">
        <v>44154</v>
      </c>
    </row>
    <row r="37" spans="1:21" x14ac:dyDescent="0.3">
      <c r="A37" s="51">
        <v>35</v>
      </c>
      <c r="B37" s="52" t="s">
        <v>71</v>
      </c>
      <c r="C37" s="53" t="s">
        <v>72</v>
      </c>
      <c r="D37" s="53" t="s">
        <v>109</v>
      </c>
      <c r="E37" s="56">
        <v>41464</v>
      </c>
      <c r="F37" s="64">
        <v>3</v>
      </c>
      <c r="G37" s="64">
        <v>325</v>
      </c>
      <c r="H37" s="64">
        <v>2325</v>
      </c>
      <c r="I37" s="63">
        <f t="shared" si="2"/>
        <v>7.1538461538461542</v>
      </c>
      <c r="J37" s="58">
        <v>586</v>
      </c>
      <c r="K37" s="55">
        <v>43871</v>
      </c>
      <c r="L37" s="55"/>
      <c r="M37" s="55" t="s">
        <v>160</v>
      </c>
      <c r="N37" s="55">
        <v>43959</v>
      </c>
      <c r="O37" s="62"/>
      <c r="P37" s="81"/>
      <c r="Q37" s="62"/>
      <c r="S37" s="62">
        <f t="shared" si="1"/>
        <v>44171</v>
      </c>
      <c r="T37" s="62"/>
      <c r="U37" s="62">
        <v>44155</v>
      </c>
    </row>
    <row r="38" spans="1:21" x14ac:dyDescent="0.3">
      <c r="A38" s="51">
        <v>36</v>
      </c>
      <c r="B38" s="52" t="s">
        <v>73</v>
      </c>
      <c r="C38" s="53" t="s">
        <v>74</v>
      </c>
      <c r="D38" s="53" t="s">
        <v>108</v>
      </c>
      <c r="E38" s="56">
        <v>41463</v>
      </c>
      <c r="F38" s="64">
        <v>2</v>
      </c>
      <c r="G38" s="64">
        <v>299</v>
      </c>
      <c r="H38" s="64">
        <v>1723</v>
      </c>
      <c r="I38" s="63">
        <f t="shared" si="2"/>
        <v>5.7625418060200673</v>
      </c>
      <c r="J38" s="58">
        <v>730</v>
      </c>
      <c r="K38" s="55">
        <v>43941</v>
      </c>
      <c r="L38" s="55"/>
      <c r="M38" s="55" t="s">
        <v>160</v>
      </c>
      <c r="N38" s="55">
        <v>43959</v>
      </c>
      <c r="O38" s="62"/>
      <c r="P38" s="81"/>
      <c r="Q38" s="62"/>
      <c r="S38" s="62">
        <f t="shared" si="1"/>
        <v>44241</v>
      </c>
      <c r="T38" s="62"/>
      <c r="U38" s="62">
        <v>44160</v>
      </c>
    </row>
    <row r="39" spans="1:21" x14ac:dyDescent="0.3">
      <c r="A39" s="51">
        <v>37</v>
      </c>
      <c r="B39" s="93" t="s">
        <v>5</v>
      </c>
      <c r="C39" s="94" t="s">
        <v>6</v>
      </c>
      <c r="D39" s="94" t="s">
        <v>109</v>
      </c>
      <c r="E39" s="95">
        <v>38393</v>
      </c>
      <c r="F39" s="96">
        <v>6</v>
      </c>
      <c r="G39" s="96">
        <v>60</v>
      </c>
      <c r="H39" s="96">
        <v>420</v>
      </c>
      <c r="I39" s="97">
        <f t="shared" si="2"/>
        <v>7</v>
      </c>
      <c r="J39" s="98">
        <v>952</v>
      </c>
      <c r="K39" s="99">
        <v>43836</v>
      </c>
      <c r="L39" s="99"/>
      <c r="M39" s="99" t="s">
        <v>160</v>
      </c>
      <c r="N39" s="99"/>
      <c r="O39" s="62"/>
      <c r="P39" s="81"/>
      <c r="Q39" s="62"/>
      <c r="S39" s="62"/>
      <c r="T39" s="62"/>
      <c r="U39" s="62">
        <v>44166</v>
      </c>
    </row>
    <row r="40" spans="1:21" x14ac:dyDescent="0.3">
      <c r="A40" s="51">
        <v>38</v>
      </c>
      <c r="B40" s="52" t="s">
        <v>49</v>
      </c>
      <c r="C40" s="53" t="s">
        <v>50</v>
      </c>
      <c r="D40" s="53" t="s">
        <v>109</v>
      </c>
      <c r="E40" s="56">
        <v>37029</v>
      </c>
      <c r="F40" s="64">
        <v>3</v>
      </c>
      <c r="G40" s="64">
        <v>290</v>
      </c>
      <c r="H40" s="64">
        <v>1806</v>
      </c>
      <c r="I40" s="63">
        <f t="shared" si="2"/>
        <v>6.227586206896552</v>
      </c>
      <c r="J40" s="58">
        <v>1172</v>
      </c>
      <c r="K40" s="55">
        <v>43898</v>
      </c>
      <c r="L40" s="55"/>
      <c r="M40" s="55" t="s">
        <v>160</v>
      </c>
      <c r="N40" s="55">
        <v>43959</v>
      </c>
      <c r="O40" s="62"/>
      <c r="P40" s="81"/>
      <c r="Q40" s="62"/>
      <c r="S40" s="62">
        <f t="shared" si="1"/>
        <v>44198</v>
      </c>
      <c r="T40" s="62"/>
      <c r="U40" s="62">
        <v>44171</v>
      </c>
    </row>
    <row r="41" spans="1:21" x14ac:dyDescent="0.3">
      <c r="A41" s="51">
        <v>39</v>
      </c>
      <c r="B41" s="52" t="s">
        <v>51</v>
      </c>
      <c r="C41" s="53" t="s">
        <v>107</v>
      </c>
      <c r="D41" s="53" t="s">
        <v>108</v>
      </c>
      <c r="E41" s="56">
        <v>39464</v>
      </c>
      <c r="F41" s="64">
        <v>6</v>
      </c>
      <c r="G41" s="64">
        <v>304</v>
      </c>
      <c r="H41" s="64">
        <v>2280</v>
      </c>
      <c r="I41" s="63">
        <f t="shared" si="2"/>
        <v>7.5</v>
      </c>
      <c r="J41" s="58">
        <v>535</v>
      </c>
      <c r="K41" s="55">
        <v>43838</v>
      </c>
      <c r="L41" s="55"/>
      <c r="M41" s="55" t="s">
        <v>160</v>
      </c>
      <c r="N41" s="55">
        <v>43959</v>
      </c>
      <c r="O41" s="62"/>
      <c r="P41" s="81"/>
      <c r="Q41" s="62"/>
      <c r="S41" s="62">
        <f t="shared" si="1"/>
        <v>44138</v>
      </c>
      <c r="T41" s="62"/>
      <c r="U41" s="62">
        <v>44183</v>
      </c>
    </row>
    <row r="42" spans="1:21" x14ac:dyDescent="0.3">
      <c r="A42" s="51">
        <v>40</v>
      </c>
      <c r="B42" s="52" t="s">
        <v>27</v>
      </c>
      <c r="C42" s="53" t="s">
        <v>28</v>
      </c>
      <c r="D42" s="53" t="s">
        <v>109</v>
      </c>
      <c r="E42" s="56">
        <v>41526</v>
      </c>
      <c r="F42" s="64">
        <v>2</v>
      </c>
      <c r="G42" s="64">
        <v>340</v>
      </c>
      <c r="H42" s="64">
        <v>2126</v>
      </c>
      <c r="I42" s="63">
        <f t="shared" si="2"/>
        <v>6.2529411764705882</v>
      </c>
      <c r="J42" s="58">
        <v>695</v>
      </c>
      <c r="K42" s="55">
        <v>43860</v>
      </c>
      <c r="L42" s="55"/>
      <c r="M42" s="55" t="s">
        <v>160</v>
      </c>
      <c r="N42" s="55">
        <v>43959</v>
      </c>
      <c r="O42" s="62"/>
      <c r="P42" s="81"/>
      <c r="Q42" s="62"/>
      <c r="S42" s="62">
        <f t="shared" si="1"/>
        <v>44160</v>
      </c>
      <c r="T42" s="62"/>
      <c r="U42" s="62">
        <v>44184</v>
      </c>
    </row>
    <row r="43" spans="1:21" x14ac:dyDescent="0.3">
      <c r="A43" s="51">
        <v>41</v>
      </c>
      <c r="B43" s="52" t="s">
        <v>65</v>
      </c>
      <c r="C43" s="53" t="s">
        <v>66</v>
      </c>
      <c r="D43" s="53" t="s">
        <v>105</v>
      </c>
      <c r="E43" s="56">
        <v>39323</v>
      </c>
      <c r="F43" s="64">
        <v>7</v>
      </c>
      <c r="G43" s="64">
        <v>213</v>
      </c>
      <c r="H43" s="64">
        <v>0</v>
      </c>
      <c r="I43" s="63">
        <f t="shared" si="2"/>
        <v>0</v>
      </c>
      <c r="J43" s="58">
        <v>373</v>
      </c>
      <c r="K43" s="55">
        <v>43943</v>
      </c>
      <c r="L43" s="55"/>
      <c r="M43" s="55" t="s">
        <v>160</v>
      </c>
      <c r="N43" s="55"/>
      <c r="O43" s="62"/>
      <c r="P43" s="81"/>
      <c r="Q43" s="62"/>
      <c r="S43" s="62"/>
      <c r="T43" s="62"/>
      <c r="U43" s="62">
        <v>44198</v>
      </c>
    </row>
    <row r="44" spans="1:21" x14ac:dyDescent="0.3">
      <c r="A44" s="51">
        <v>42</v>
      </c>
      <c r="B44" s="52" t="s">
        <v>47</v>
      </c>
      <c r="C44" s="53" t="s">
        <v>48</v>
      </c>
      <c r="D44" s="53" t="s">
        <v>109</v>
      </c>
      <c r="E44" s="56">
        <v>41156</v>
      </c>
      <c r="F44" s="64">
        <v>2</v>
      </c>
      <c r="G44" s="64">
        <v>370</v>
      </c>
      <c r="H44" s="64">
        <v>2163</v>
      </c>
      <c r="I44" s="63">
        <f t="shared" si="2"/>
        <v>5.845945945945946</v>
      </c>
      <c r="J44" s="58">
        <v>660</v>
      </c>
      <c r="K44" s="55">
        <v>43820</v>
      </c>
      <c r="L44" s="55"/>
      <c r="M44" s="55" t="s">
        <v>160</v>
      </c>
      <c r="N44" s="55">
        <v>43959</v>
      </c>
      <c r="O44" s="62"/>
      <c r="P44" s="81"/>
      <c r="Q44" s="62"/>
      <c r="S44" s="62">
        <f t="shared" si="1"/>
        <v>44120</v>
      </c>
      <c r="T44" s="62"/>
      <c r="U44" s="62">
        <v>44217</v>
      </c>
    </row>
    <row r="45" spans="1:21" x14ac:dyDescent="0.3">
      <c r="A45" s="51">
        <v>43</v>
      </c>
      <c r="B45" s="52" t="s">
        <v>67</v>
      </c>
      <c r="C45" s="53" t="s">
        <v>68</v>
      </c>
      <c r="D45" s="53" t="s">
        <v>108</v>
      </c>
      <c r="E45" s="56">
        <v>40765</v>
      </c>
      <c r="F45" s="64">
        <v>6</v>
      </c>
      <c r="G45" s="64">
        <v>285</v>
      </c>
      <c r="H45" s="64">
        <v>2635</v>
      </c>
      <c r="I45" s="63">
        <f t="shared" si="2"/>
        <v>9.2456140350877192</v>
      </c>
      <c r="J45" s="58">
        <v>373</v>
      </c>
      <c r="K45" s="55">
        <v>43866</v>
      </c>
      <c r="L45" s="55"/>
      <c r="M45" s="55" t="s">
        <v>160</v>
      </c>
      <c r="N45" s="55">
        <v>43959</v>
      </c>
      <c r="O45" s="62"/>
      <c r="P45" s="81"/>
      <c r="Q45" s="62"/>
      <c r="S45" s="62">
        <f t="shared" si="1"/>
        <v>44166</v>
      </c>
      <c r="T45" s="62"/>
      <c r="U45" s="62">
        <v>44241</v>
      </c>
    </row>
    <row r="46" spans="1:21" x14ac:dyDescent="0.3">
      <c r="A46" s="51">
        <v>44</v>
      </c>
      <c r="B46" s="52" t="s">
        <v>133</v>
      </c>
      <c r="C46" s="53"/>
      <c r="D46" s="53" t="s">
        <v>109</v>
      </c>
      <c r="E46" s="56">
        <v>41319</v>
      </c>
      <c r="F46" s="64">
        <v>1</v>
      </c>
      <c r="G46" s="64"/>
      <c r="H46" s="64"/>
      <c r="I46" s="63"/>
      <c r="J46" s="58">
        <v>2929</v>
      </c>
      <c r="K46" s="55">
        <v>43884</v>
      </c>
      <c r="L46" s="55"/>
      <c r="M46" s="55" t="s">
        <v>160</v>
      </c>
      <c r="N46" s="55">
        <v>43959</v>
      </c>
      <c r="O46" s="62"/>
      <c r="P46" s="81"/>
      <c r="Q46" s="62"/>
      <c r="S46" s="62">
        <f t="shared" si="1"/>
        <v>44184</v>
      </c>
      <c r="T46" s="62"/>
      <c r="U46" s="62"/>
    </row>
    <row r="47" spans="1:21" x14ac:dyDescent="0.3">
      <c r="A47" s="51">
        <v>45</v>
      </c>
      <c r="B47" s="52" t="s">
        <v>134</v>
      </c>
      <c r="C47" s="53"/>
      <c r="D47" s="53" t="s">
        <v>109</v>
      </c>
      <c r="E47" s="56">
        <v>41436</v>
      </c>
      <c r="F47" s="64">
        <v>1</v>
      </c>
      <c r="G47" s="64"/>
      <c r="H47" s="64"/>
      <c r="I47" s="63"/>
      <c r="J47" s="58">
        <v>2385</v>
      </c>
      <c r="K47" s="55">
        <v>43855</v>
      </c>
      <c r="L47" s="55"/>
      <c r="M47" s="55" t="s">
        <v>160</v>
      </c>
      <c r="N47" s="55">
        <v>43959</v>
      </c>
      <c r="O47" s="62"/>
      <c r="P47" s="81"/>
      <c r="Q47" s="62"/>
      <c r="S47" s="62">
        <f t="shared" si="1"/>
        <v>44155</v>
      </c>
      <c r="T47" s="62"/>
      <c r="U47" s="62"/>
    </row>
    <row r="48" spans="1:21" x14ac:dyDescent="0.3">
      <c r="A48" s="51">
        <v>46</v>
      </c>
      <c r="B48" s="52" t="s">
        <v>138</v>
      </c>
      <c r="C48" s="53"/>
      <c r="D48" s="53" t="s">
        <v>109</v>
      </c>
      <c r="E48" s="56">
        <v>41556</v>
      </c>
      <c r="F48" s="64">
        <v>1</v>
      </c>
      <c r="G48" s="64"/>
      <c r="H48" s="64"/>
      <c r="I48" s="63"/>
      <c r="J48" s="58">
        <v>2360</v>
      </c>
      <c r="K48" s="55">
        <v>43917</v>
      </c>
      <c r="L48" s="55"/>
      <c r="M48" s="55" t="s">
        <v>160</v>
      </c>
      <c r="N48" s="55">
        <v>43959</v>
      </c>
      <c r="O48" s="62"/>
      <c r="P48" s="81"/>
      <c r="Q48" s="62"/>
      <c r="S48" s="62">
        <f t="shared" si="1"/>
        <v>44217</v>
      </c>
      <c r="T48" s="62"/>
      <c r="U48" s="62"/>
    </row>
    <row r="49" spans="1:21" x14ac:dyDescent="0.3">
      <c r="A49" s="51">
        <v>47</v>
      </c>
      <c r="B49" s="51">
        <v>14012</v>
      </c>
      <c r="C49" s="100" t="s">
        <v>161</v>
      </c>
      <c r="D49" s="53" t="s">
        <v>109</v>
      </c>
      <c r="E49" s="56">
        <v>41761</v>
      </c>
      <c r="F49" s="64">
        <v>1</v>
      </c>
      <c r="G49" s="50"/>
      <c r="H49" s="50"/>
      <c r="I49" s="50"/>
      <c r="J49" s="59">
        <v>2101</v>
      </c>
      <c r="K49" s="55">
        <v>43883</v>
      </c>
      <c r="L49" s="55"/>
      <c r="M49" s="55" t="s">
        <v>160</v>
      </c>
      <c r="N49" s="55">
        <v>43959</v>
      </c>
      <c r="O49" s="62"/>
      <c r="P49" s="81"/>
      <c r="Q49" s="62"/>
      <c r="S49" s="62">
        <f t="shared" si="1"/>
        <v>44183</v>
      </c>
      <c r="T49" s="62"/>
      <c r="U49" s="62"/>
    </row>
    <row r="50" spans="1:21" x14ac:dyDescent="0.3">
      <c r="A50" s="51">
        <v>48</v>
      </c>
      <c r="B50" s="72" t="s">
        <v>91</v>
      </c>
      <c r="C50" s="73" t="s">
        <v>92</v>
      </c>
      <c r="D50" s="73" t="s">
        <v>109</v>
      </c>
      <c r="E50" s="74">
        <v>39623</v>
      </c>
      <c r="F50" s="75">
        <v>7</v>
      </c>
      <c r="G50" s="75">
        <v>328</v>
      </c>
      <c r="H50" s="75">
        <v>1804</v>
      </c>
      <c r="I50" s="76">
        <f>H50/G50</f>
        <v>5.5</v>
      </c>
      <c r="J50" s="77">
        <v>459</v>
      </c>
      <c r="K50" s="78">
        <v>43797</v>
      </c>
      <c r="L50" s="78"/>
      <c r="M50" s="78" t="s">
        <v>111</v>
      </c>
      <c r="N50" s="78"/>
      <c r="O50" s="79"/>
      <c r="P50" s="82"/>
      <c r="Q50" s="79"/>
      <c r="R50" s="80"/>
      <c r="S50" s="62"/>
      <c r="T50" s="62"/>
      <c r="U50" s="62"/>
    </row>
    <row r="51" spans="1:21" x14ac:dyDescent="0.3">
      <c r="A51" s="51">
        <v>49</v>
      </c>
      <c r="B51" s="72" t="s">
        <v>17</v>
      </c>
      <c r="C51" s="73" t="s">
        <v>18</v>
      </c>
      <c r="D51" s="73" t="s">
        <v>113</v>
      </c>
      <c r="E51" s="74">
        <v>41193</v>
      </c>
      <c r="F51" s="75">
        <v>7</v>
      </c>
      <c r="G51" s="75">
        <v>352</v>
      </c>
      <c r="H51" s="75">
        <v>2640</v>
      </c>
      <c r="I51" s="76">
        <f>H51/G51</f>
        <v>7.5</v>
      </c>
      <c r="J51" s="77">
        <v>640</v>
      </c>
      <c r="K51" s="78">
        <v>43806</v>
      </c>
      <c r="L51" s="78"/>
      <c r="M51" s="78" t="s">
        <v>111</v>
      </c>
      <c r="N51" s="78"/>
      <c r="O51" s="62"/>
      <c r="P51" s="81"/>
      <c r="Q51" s="62"/>
      <c r="S51" s="62"/>
      <c r="T51" s="62"/>
      <c r="U51" s="62"/>
    </row>
    <row r="52" spans="1:21" x14ac:dyDescent="0.3">
      <c r="A52" s="51">
        <v>50</v>
      </c>
      <c r="B52" s="52" t="s">
        <v>135</v>
      </c>
      <c r="C52" s="53"/>
      <c r="D52" s="53" t="s">
        <v>109</v>
      </c>
      <c r="E52" s="56">
        <v>41455</v>
      </c>
      <c r="F52" s="64"/>
      <c r="G52" s="64"/>
      <c r="H52" s="64"/>
      <c r="I52" s="63"/>
      <c r="J52" s="58"/>
      <c r="K52" s="55"/>
      <c r="L52" s="55"/>
      <c r="M52" s="55"/>
      <c r="N52" s="55"/>
      <c r="O52" s="62"/>
      <c r="P52" s="81"/>
      <c r="Q52" s="62"/>
      <c r="S52" s="62"/>
      <c r="T52" s="62"/>
      <c r="U52" s="62"/>
    </row>
    <row r="53" spans="1:21" x14ac:dyDescent="0.3">
      <c r="A53" s="51">
        <v>51</v>
      </c>
      <c r="B53" s="52" t="s">
        <v>137</v>
      </c>
      <c r="C53" s="53"/>
      <c r="D53" s="53" t="s">
        <v>109</v>
      </c>
      <c r="E53" s="56">
        <v>41492</v>
      </c>
      <c r="F53" s="64"/>
      <c r="G53" s="64"/>
      <c r="H53" s="64"/>
      <c r="I53" s="63"/>
      <c r="J53" s="58"/>
      <c r="K53" s="55"/>
      <c r="L53" s="55"/>
      <c r="M53" s="55"/>
      <c r="N53" s="55"/>
      <c r="O53" s="62"/>
      <c r="P53" s="81"/>
      <c r="Q53" s="62"/>
      <c r="S53" s="62"/>
      <c r="T53" s="62"/>
      <c r="U53" s="62"/>
    </row>
    <row r="54" spans="1:21" x14ac:dyDescent="0.3">
      <c r="A54" s="51">
        <v>52</v>
      </c>
      <c r="B54" s="52" t="s">
        <v>139</v>
      </c>
      <c r="C54" s="53"/>
      <c r="D54" s="53" t="s">
        <v>109</v>
      </c>
      <c r="E54" s="56">
        <v>41596</v>
      </c>
      <c r="F54" s="64"/>
      <c r="G54" s="64"/>
      <c r="H54" s="64"/>
      <c r="I54" s="63"/>
      <c r="J54" s="58"/>
      <c r="K54" s="55"/>
      <c r="L54" s="55"/>
      <c r="M54" s="55"/>
      <c r="N54" s="55"/>
      <c r="O54" s="62"/>
      <c r="P54" s="81"/>
      <c r="Q54" s="62"/>
      <c r="T54" s="62"/>
      <c r="U54" s="62"/>
    </row>
    <row r="55" spans="1:21" x14ac:dyDescent="0.3">
      <c r="A55" s="51">
        <v>53</v>
      </c>
      <c r="B55" s="52" t="s">
        <v>140</v>
      </c>
      <c r="C55" s="53"/>
      <c r="D55" s="53" t="s">
        <v>109</v>
      </c>
      <c r="E55" s="56">
        <v>41600</v>
      </c>
      <c r="F55" s="64"/>
      <c r="G55" s="64"/>
      <c r="H55" s="64"/>
      <c r="I55" s="63"/>
      <c r="J55" s="58"/>
      <c r="K55" s="55"/>
      <c r="L55" s="55"/>
      <c r="M55" s="55"/>
      <c r="N55" s="55"/>
      <c r="O55" s="62"/>
      <c r="P55" s="81"/>
      <c r="Q55" s="62"/>
      <c r="U55" s="62"/>
    </row>
    <row r="56" spans="1:21" x14ac:dyDescent="0.3">
      <c r="A56" s="51">
        <v>54</v>
      </c>
      <c r="B56" s="51">
        <v>552</v>
      </c>
      <c r="C56" s="50"/>
      <c r="D56" s="53" t="s">
        <v>109</v>
      </c>
      <c r="E56" s="56">
        <v>41604</v>
      </c>
      <c r="F56" s="50"/>
      <c r="G56" s="50"/>
      <c r="H56" s="50"/>
      <c r="I56" s="50"/>
      <c r="J56" s="59"/>
      <c r="K56" s="55"/>
      <c r="L56" s="55"/>
      <c r="M56" s="55"/>
      <c r="N56" s="55"/>
      <c r="O56" s="62"/>
      <c r="P56" s="81"/>
      <c r="Q56" s="62"/>
      <c r="U56" s="62"/>
    </row>
    <row r="57" spans="1:21" x14ac:dyDescent="0.3">
      <c r="A57" s="51">
        <v>55</v>
      </c>
      <c r="B57" s="51">
        <v>14003</v>
      </c>
      <c r="C57" s="50"/>
      <c r="D57" s="53" t="s">
        <v>109</v>
      </c>
      <c r="E57" s="56">
        <v>41655</v>
      </c>
      <c r="F57" s="50"/>
      <c r="G57" s="50"/>
      <c r="H57" s="50"/>
      <c r="I57" s="50"/>
      <c r="J57" s="59"/>
      <c r="K57" s="55"/>
      <c r="L57" s="55"/>
      <c r="M57" s="55"/>
      <c r="N57" s="55"/>
      <c r="O57" s="62"/>
      <c r="P57" s="81"/>
      <c r="Q57" s="62"/>
      <c r="S57" s="62"/>
      <c r="U57" s="62"/>
    </row>
    <row r="58" spans="1:21" x14ac:dyDescent="0.3">
      <c r="A58" s="51">
        <v>56</v>
      </c>
      <c r="B58" s="51">
        <v>14006</v>
      </c>
      <c r="C58" s="50"/>
      <c r="D58" s="53" t="s">
        <v>109</v>
      </c>
      <c r="E58" s="56">
        <v>41728</v>
      </c>
      <c r="F58" s="50"/>
      <c r="G58" s="50"/>
      <c r="H58" s="50"/>
      <c r="I58" s="50"/>
      <c r="J58" s="59"/>
      <c r="K58" s="55"/>
      <c r="L58" s="55"/>
      <c r="M58" s="55"/>
      <c r="N58" s="55"/>
      <c r="O58" s="62"/>
      <c r="P58" s="81"/>
      <c r="Q58" s="62"/>
      <c r="T58" s="62"/>
      <c r="U58" s="62"/>
    </row>
    <row r="59" spans="1:21" x14ac:dyDescent="0.3">
      <c r="A59" s="51">
        <v>57</v>
      </c>
      <c r="B59" s="51">
        <v>140018</v>
      </c>
      <c r="C59" s="50"/>
      <c r="D59" s="53" t="s">
        <v>109</v>
      </c>
      <c r="E59" s="56">
        <v>41748</v>
      </c>
      <c r="F59" s="50"/>
      <c r="G59" s="50"/>
      <c r="H59" s="50"/>
      <c r="I59" s="50"/>
      <c r="J59" s="59"/>
      <c r="K59" s="55"/>
      <c r="L59" s="55"/>
      <c r="M59" s="55"/>
      <c r="N59" s="55"/>
      <c r="O59" s="62"/>
      <c r="P59" s="81"/>
      <c r="Q59" s="62"/>
      <c r="U59" s="62"/>
    </row>
    <row r="60" spans="1:21" x14ac:dyDescent="0.3">
      <c r="A60" s="51">
        <v>58</v>
      </c>
      <c r="B60" s="51">
        <v>14009</v>
      </c>
      <c r="C60" s="50"/>
      <c r="D60" s="53" t="s">
        <v>109</v>
      </c>
      <c r="E60" s="56">
        <v>41752</v>
      </c>
      <c r="F60" s="50"/>
      <c r="G60" s="50"/>
      <c r="H60" s="50"/>
      <c r="I60" s="50"/>
      <c r="J60" s="59"/>
      <c r="K60" s="55"/>
      <c r="L60" s="55"/>
      <c r="M60" s="55"/>
      <c r="N60" s="55"/>
      <c r="O60" s="62"/>
      <c r="P60" s="81"/>
      <c r="Q60" s="62"/>
      <c r="U60" s="62"/>
    </row>
    <row r="61" spans="1:21" x14ac:dyDescent="0.3">
      <c r="A61" s="51">
        <v>59</v>
      </c>
      <c r="B61" s="51">
        <v>14011</v>
      </c>
      <c r="C61" s="50"/>
      <c r="D61" s="53" t="s">
        <v>109</v>
      </c>
      <c r="E61" s="56">
        <v>41760</v>
      </c>
      <c r="F61" s="50"/>
      <c r="G61" s="50"/>
      <c r="H61" s="50"/>
      <c r="I61" s="50"/>
      <c r="J61" s="59"/>
      <c r="K61" s="55"/>
      <c r="L61" s="55"/>
      <c r="M61" s="55"/>
      <c r="N61" s="55"/>
      <c r="O61" s="62"/>
      <c r="P61" s="81"/>
      <c r="Q61" s="62"/>
      <c r="U61" s="62"/>
    </row>
    <row r="62" spans="1:21" x14ac:dyDescent="0.3">
      <c r="A62" s="51">
        <v>60</v>
      </c>
      <c r="B62" s="51">
        <v>14018</v>
      </c>
      <c r="C62" s="50"/>
      <c r="D62" s="53" t="s">
        <v>109</v>
      </c>
      <c r="E62" s="56">
        <v>41772</v>
      </c>
      <c r="F62" s="50"/>
      <c r="G62" s="50"/>
      <c r="H62" s="50"/>
      <c r="I62" s="50"/>
      <c r="J62" s="59"/>
      <c r="K62" s="55"/>
      <c r="L62" s="55"/>
      <c r="M62" s="55"/>
      <c r="N62" s="55"/>
      <c r="O62" s="62"/>
      <c r="P62" s="81"/>
      <c r="Q62" s="62"/>
      <c r="U62" s="62"/>
    </row>
    <row r="63" spans="1:21" x14ac:dyDescent="0.3">
      <c r="A63" s="51">
        <v>61</v>
      </c>
      <c r="B63" s="51">
        <v>1789</v>
      </c>
      <c r="C63" s="50"/>
      <c r="D63" s="53" t="s">
        <v>109</v>
      </c>
      <c r="E63" s="56">
        <v>41961</v>
      </c>
      <c r="F63" s="50"/>
      <c r="G63" s="50"/>
      <c r="H63" s="50"/>
      <c r="I63" s="50"/>
      <c r="J63" s="59"/>
      <c r="K63" s="55"/>
      <c r="L63" s="55"/>
      <c r="M63" s="55"/>
      <c r="N63" s="55"/>
      <c r="O63" s="62"/>
      <c r="P63" s="81"/>
      <c r="Q63" s="62"/>
      <c r="U63" s="62"/>
    </row>
    <row r="64" spans="1:21" x14ac:dyDescent="0.3">
      <c r="A64" s="51">
        <v>62</v>
      </c>
      <c r="B64" s="51">
        <v>1866</v>
      </c>
      <c r="C64" s="50"/>
      <c r="D64" s="53" t="s">
        <v>109</v>
      </c>
      <c r="E64" s="56">
        <v>41971</v>
      </c>
      <c r="F64" s="50"/>
      <c r="G64" s="50"/>
      <c r="H64" s="50"/>
      <c r="I64" s="50"/>
      <c r="J64" s="59"/>
      <c r="K64" s="55"/>
      <c r="L64" s="55"/>
      <c r="M64" s="55"/>
      <c r="N64" s="55"/>
      <c r="O64" s="62"/>
      <c r="P64" s="81"/>
      <c r="Q64" s="62"/>
      <c r="U64" s="62"/>
    </row>
    <row r="65" spans="1:17" x14ac:dyDescent="0.3">
      <c r="A65" s="51">
        <v>63</v>
      </c>
      <c r="B65" s="51">
        <v>1883</v>
      </c>
      <c r="C65" s="50"/>
      <c r="D65" s="53" t="s">
        <v>109</v>
      </c>
      <c r="E65" s="56">
        <v>42020</v>
      </c>
      <c r="F65" s="50"/>
      <c r="G65" s="50"/>
      <c r="H65" s="50"/>
      <c r="I65" s="50"/>
      <c r="J65" s="59"/>
      <c r="K65" s="55"/>
      <c r="L65" s="55"/>
      <c r="M65" s="55"/>
      <c r="N65" s="55"/>
      <c r="O65" s="62"/>
      <c r="P65" s="81"/>
      <c r="Q65" s="62"/>
    </row>
    <row r="66" spans="1:17" x14ac:dyDescent="0.3">
      <c r="A66" s="51">
        <v>64</v>
      </c>
      <c r="B66" s="51">
        <v>1067</v>
      </c>
      <c r="C66" s="50"/>
      <c r="D66" s="53" t="s">
        <v>109</v>
      </c>
      <c r="E66" s="56">
        <v>42160</v>
      </c>
      <c r="F66" s="50"/>
      <c r="G66" s="50"/>
      <c r="H66" s="50"/>
      <c r="I66" s="50"/>
      <c r="J66" s="59"/>
      <c r="K66" s="55"/>
      <c r="L66" s="55"/>
      <c r="M66" s="55"/>
      <c r="N66" s="55"/>
      <c r="O66" s="62"/>
      <c r="P66" s="81"/>
      <c r="Q66" s="62"/>
    </row>
    <row r="67" spans="1:17" x14ac:dyDescent="0.3">
      <c r="A67" s="51">
        <v>65</v>
      </c>
      <c r="B67" s="51">
        <v>7040018</v>
      </c>
      <c r="C67" s="50"/>
      <c r="D67" s="53" t="s">
        <v>109</v>
      </c>
      <c r="E67" s="56">
        <v>42136</v>
      </c>
      <c r="F67" s="50"/>
      <c r="G67" s="50"/>
      <c r="H67" s="50"/>
      <c r="I67" s="50"/>
      <c r="J67" s="59"/>
      <c r="K67" s="55"/>
      <c r="L67" s="55"/>
      <c r="M67" s="55"/>
      <c r="N67" s="55"/>
      <c r="O67" s="62"/>
      <c r="P67" s="81"/>
      <c r="Q67" s="62"/>
    </row>
    <row r="68" spans="1:17" x14ac:dyDescent="0.3">
      <c r="A68" s="51">
        <v>66</v>
      </c>
      <c r="B68" s="51">
        <v>7040026</v>
      </c>
      <c r="C68" s="50"/>
      <c r="D68" s="53" t="s">
        <v>109</v>
      </c>
      <c r="E68" s="56">
        <v>42226</v>
      </c>
      <c r="F68" s="50"/>
      <c r="G68" s="50"/>
      <c r="H68" s="50"/>
      <c r="I68" s="50"/>
      <c r="J68" s="59"/>
      <c r="K68" s="55"/>
      <c r="L68" s="55"/>
      <c r="M68" s="55"/>
      <c r="N68" s="55"/>
      <c r="O68" s="62"/>
      <c r="P68" s="81"/>
      <c r="Q68" s="62"/>
    </row>
    <row r="69" spans="1:17" x14ac:dyDescent="0.3">
      <c r="A69" s="51"/>
      <c r="B69" s="51"/>
      <c r="C69" s="50"/>
      <c r="D69" s="53"/>
      <c r="E69" s="56"/>
      <c r="F69" s="50"/>
      <c r="G69" s="50"/>
      <c r="H69" s="50"/>
      <c r="I69" s="50"/>
      <c r="J69" s="59"/>
      <c r="K69" s="55"/>
      <c r="L69" s="55"/>
      <c r="M69" s="55"/>
      <c r="N69" s="55"/>
      <c r="O69" s="62"/>
      <c r="P69" s="81"/>
      <c r="Q69" s="62"/>
    </row>
    <row r="70" spans="1:17" x14ac:dyDescent="0.3">
      <c r="A70" s="51">
        <v>67</v>
      </c>
      <c r="B70" s="51">
        <v>764</v>
      </c>
      <c r="C70" s="50"/>
      <c r="D70" s="53" t="s">
        <v>109</v>
      </c>
      <c r="E70" s="56">
        <v>43037</v>
      </c>
      <c r="F70" s="50"/>
      <c r="G70" s="50"/>
      <c r="H70" s="50"/>
      <c r="I70" s="50"/>
      <c r="J70" s="59"/>
      <c r="K70" s="55"/>
      <c r="L70" s="55"/>
      <c r="M70" s="55"/>
      <c r="N70" s="55"/>
      <c r="O70" s="62"/>
      <c r="P70" s="81"/>
      <c r="Q70" s="62"/>
    </row>
    <row r="71" spans="1:17" x14ac:dyDescent="0.3">
      <c r="A71" s="51">
        <v>68</v>
      </c>
      <c r="B71" s="51">
        <v>777</v>
      </c>
      <c r="C71" s="50"/>
      <c r="D71" s="53" t="s">
        <v>109</v>
      </c>
      <c r="E71" s="56">
        <v>43141</v>
      </c>
      <c r="F71" s="50"/>
      <c r="G71" s="50"/>
      <c r="H71" s="50"/>
      <c r="I71" s="50"/>
      <c r="J71" s="59"/>
      <c r="K71" s="55"/>
      <c r="L71" s="55"/>
      <c r="M71" s="55"/>
      <c r="N71" s="55"/>
      <c r="O71" s="62"/>
      <c r="P71" s="81"/>
      <c r="Q71" s="62"/>
    </row>
    <row r="72" spans="1:17" x14ac:dyDescent="0.3">
      <c r="A72" s="51">
        <v>69</v>
      </c>
      <c r="B72" s="51">
        <v>779</v>
      </c>
      <c r="C72" s="50"/>
      <c r="D72" s="53" t="s">
        <v>108</v>
      </c>
      <c r="E72" s="56">
        <v>43166</v>
      </c>
      <c r="F72" s="50"/>
      <c r="G72" s="50"/>
      <c r="H72" s="50"/>
      <c r="I72" s="50"/>
      <c r="J72" s="59"/>
      <c r="K72" s="55"/>
      <c r="L72" s="55"/>
      <c r="M72" s="55"/>
      <c r="N72" s="55"/>
      <c r="O72" s="62"/>
      <c r="P72" s="81"/>
      <c r="Q72" s="62"/>
    </row>
    <row r="73" spans="1:17" x14ac:dyDescent="0.3">
      <c r="A73" s="51">
        <v>70</v>
      </c>
      <c r="B73" s="51">
        <v>780</v>
      </c>
      <c r="C73" s="50"/>
      <c r="D73" s="53" t="s">
        <v>109</v>
      </c>
      <c r="E73" s="56">
        <v>43178</v>
      </c>
      <c r="F73" s="50"/>
      <c r="G73" s="50"/>
      <c r="H73" s="50"/>
      <c r="I73" s="50"/>
      <c r="J73" s="59"/>
      <c r="K73" s="55"/>
      <c r="L73" s="55"/>
      <c r="M73" s="55"/>
      <c r="N73" s="55"/>
      <c r="O73" s="62"/>
      <c r="P73" s="81"/>
      <c r="Q73" s="62"/>
    </row>
    <row r="74" spans="1:17" x14ac:dyDescent="0.3">
      <c r="A74" s="51">
        <v>71</v>
      </c>
      <c r="B74" s="51">
        <v>782</v>
      </c>
      <c r="C74" s="50"/>
      <c r="D74" s="53" t="s">
        <v>109</v>
      </c>
      <c r="E74" s="56">
        <v>43187</v>
      </c>
      <c r="F74" s="50"/>
      <c r="G74" s="50"/>
      <c r="H74" s="50"/>
      <c r="I74" s="50"/>
      <c r="J74" s="59"/>
      <c r="K74" s="55"/>
      <c r="L74" s="55"/>
      <c r="M74" s="55"/>
      <c r="N74" s="55"/>
      <c r="O74" s="62"/>
      <c r="P74" s="81"/>
      <c r="Q74" s="62"/>
    </row>
    <row r="75" spans="1:17" x14ac:dyDescent="0.3">
      <c r="A75" s="51">
        <v>72</v>
      </c>
      <c r="B75" s="51">
        <v>783</v>
      </c>
      <c r="C75" s="50"/>
      <c r="D75" s="53" t="s">
        <v>109</v>
      </c>
      <c r="E75" s="56">
        <v>43192</v>
      </c>
      <c r="F75" s="50"/>
      <c r="G75" s="50"/>
      <c r="H75" s="50"/>
      <c r="I75" s="50"/>
      <c r="J75" s="59"/>
      <c r="K75" s="55"/>
      <c r="L75" s="55"/>
      <c r="M75" s="55"/>
      <c r="N75" s="55"/>
      <c r="O75" s="62"/>
      <c r="P75" s="81"/>
      <c r="Q75" s="62"/>
    </row>
    <row r="76" spans="1:17" x14ac:dyDescent="0.3">
      <c r="A76" s="51">
        <v>73</v>
      </c>
      <c r="B76" s="51">
        <v>785</v>
      </c>
      <c r="C76" s="50"/>
      <c r="D76" s="53" t="s">
        <v>109</v>
      </c>
      <c r="E76" s="56">
        <v>43240</v>
      </c>
      <c r="F76" s="50"/>
      <c r="G76" s="50"/>
      <c r="H76" s="50"/>
      <c r="I76" s="50"/>
      <c r="J76" s="59"/>
      <c r="K76" s="55"/>
      <c r="L76" s="55"/>
      <c r="M76" s="55"/>
      <c r="N76" s="55"/>
      <c r="O76" s="62"/>
      <c r="P76" s="81"/>
      <c r="Q76" s="62"/>
    </row>
    <row r="77" spans="1:17" x14ac:dyDescent="0.3">
      <c r="A77" s="51">
        <v>74</v>
      </c>
      <c r="B77" s="51">
        <v>786</v>
      </c>
      <c r="C77" s="50"/>
      <c r="D77" s="53" t="s">
        <v>109</v>
      </c>
      <c r="E77" s="56">
        <v>43240</v>
      </c>
      <c r="F77" s="50"/>
      <c r="G77" s="50"/>
      <c r="H77" s="50"/>
      <c r="I77" s="50"/>
      <c r="J77" s="59"/>
      <c r="K77" s="55"/>
      <c r="L77" s="55"/>
      <c r="M77" s="55"/>
      <c r="N77" s="55"/>
      <c r="O77" s="62"/>
      <c r="P77" s="81"/>
      <c r="Q77" s="62"/>
    </row>
    <row r="78" spans="1:17" x14ac:dyDescent="0.3">
      <c r="A78" s="51">
        <v>75</v>
      </c>
      <c r="B78" s="51">
        <v>789</v>
      </c>
      <c r="C78" s="50"/>
      <c r="D78" s="53" t="s">
        <v>109</v>
      </c>
      <c r="E78" s="56">
        <v>43263</v>
      </c>
      <c r="F78" s="50"/>
      <c r="G78" s="50"/>
      <c r="H78" s="50"/>
      <c r="I78" s="50"/>
      <c r="J78" s="59"/>
      <c r="K78" s="55"/>
      <c r="L78" s="55"/>
      <c r="M78" s="55"/>
      <c r="N78" s="55"/>
      <c r="O78" s="62"/>
      <c r="P78" s="81"/>
      <c r="Q78" s="62"/>
    </row>
    <row r="79" spans="1:17" x14ac:dyDescent="0.3">
      <c r="A79" s="51">
        <v>76</v>
      </c>
      <c r="B79" s="51">
        <v>790</v>
      </c>
      <c r="C79" s="50"/>
      <c r="D79" s="53" t="s">
        <v>109</v>
      </c>
      <c r="E79" s="56">
        <v>43271</v>
      </c>
      <c r="F79" s="50"/>
      <c r="G79" s="50"/>
      <c r="H79" s="50"/>
      <c r="I79" s="50"/>
      <c r="J79" s="59"/>
      <c r="K79" s="55"/>
      <c r="L79" s="55"/>
      <c r="M79" s="55"/>
      <c r="N79" s="55"/>
      <c r="O79" s="62"/>
      <c r="P79" s="81"/>
      <c r="Q79" s="62"/>
    </row>
    <row r="80" spans="1:17" x14ac:dyDescent="0.3">
      <c r="A80" s="51">
        <v>77</v>
      </c>
      <c r="B80" s="51">
        <v>796</v>
      </c>
      <c r="C80" s="50"/>
      <c r="D80" s="53" t="s">
        <v>109</v>
      </c>
      <c r="E80" s="56">
        <v>43507</v>
      </c>
      <c r="F80" s="50"/>
      <c r="G80" s="50"/>
      <c r="H80" s="50"/>
      <c r="I80" s="50"/>
      <c r="J80" s="59"/>
      <c r="K80" s="55"/>
      <c r="L80" s="55"/>
      <c r="M80" s="55"/>
      <c r="N80" s="55"/>
      <c r="O80" s="62"/>
      <c r="P80" s="81"/>
      <c r="Q80" s="62"/>
    </row>
    <row r="81" spans="1:17" x14ac:dyDescent="0.3">
      <c r="A81" s="51">
        <v>78</v>
      </c>
      <c r="B81" s="51">
        <v>797</v>
      </c>
      <c r="C81" s="50"/>
      <c r="D81" s="53" t="s">
        <v>108</v>
      </c>
      <c r="E81" s="56">
        <v>43559</v>
      </c>
      <c r="F81" s="50"/>
      <c r="G81" s="50"/>
      <c r="H81" s="50"/>
      <c r="I81" s="50"/>
      <c r="J81" s="59"/>
      <c r="K81" s="55"/>
      <c r="L81" s="55"/>
      <c r="M81" s="55"/>
      <c r="N81" s="55"/>
      <c r="O81" s="62"/>
      <c r="P81" s="81"/>
      <c r="Q81" s="62"/>
    </row>
    <row r="82" spans="1:17" x14ac:dyDescent="0.3">
      <c r="A82" s="51">
        <v>79</v>
      </c>
      <c r="B82" s="51">
        <v>799</v>
      </c>
      <c r="C82" s="50"/>
      <c r="D82" s="53" t="s">
        <v>108</v>
      </c>
      <c r="E82" s="56">
        <v>43559</v>
      </c>
      <c r="F82" s="50"/>
      <c r="G82" s="50"/>
      <c r="H82" s="50"/>
      <c r="I82" s="50"/>
      <c r="J82" s="59"/>
      <c r="K82" s="55"/>
      <c r="L82" s="55"/>
      <c r="M82" s="55"/>
      <c r="N82" s="55"/>
      <c r="O82" s="62"/>
      <c r="P82" s="81"/>
      <c r="Q82" s="62"/>
    </row>
    <row r="83" spans="1:17" x14ac:dyDescent="0.3">
      <c r="A83" s="51">
        <v>80</v>
      </c>
      <c r="B83" s="51">
        <v>800</v>
      </c>
      <c r="C83" s="50"/>
      <c r="D83" s="53" t="s">
        <v>109</v>
      </c>
      <c r="E83" s="56">
        <v>43584</v>
      </c>
      <c r="F83" s="50"/>
      <c r="G83" s="50"/>
      <c r="H83" s="50"/>
      <c r="I83" s="50"/>
      <c r="J83" s="59"/>
      <c r="K83" s="55"/>
      <c r="L83" s="55"/>
      <c r="M83" s="55"/>
      <c r="N83" s="55"/>
      <c r="O83" s="62"/>
      <c r="P83" s="81"/>
      <c r="Q83" s="62"/>
    </row>
    <row r="84" spans="1:17" x14ac:dyDescent="0.3">
      <c r="A84" s="51">
        <v>81</v>
      </c>
      <c r="B84" s="51">
        <v>801</v>
      </c>
      <c r="C84" s="50"/>
      <c r="D84" s="53" t="s">
        <v>109</v>
      </c>
      <c r="E84" s="56">
        <v>43624</v>
      </c>
      <c r="F84" s="50"/>
      <c r="G84" s="50"/>
      <c r="H84" s="50"/>
      <c r="I84" s="50"/>
      <c r="J84" s="59"/>
      <c r="K84" s="55"/>
      <c r="L84" s="55"/>
      <c r="M84" s="55"/>
      <c r="N84" s="55"/>
      <c r="O84" s="62"/>
      <c r="P84" s="81"/>
      <c r="Q84" s="62"/>
    </row>
    <row r="85" spans="1:17" x14ac:dyDescent="0.3">
      <c r="A85" s="51">
        <v>82</v>
      </c>
      <c r="B85" s="51">
        <v>802</v>
      </c>
      <c r="C85" s="50"/>
      <c r="D85" s="53" t="s">
        <v>109</v>
      </c>
      <c r="E85" s="56">
        <v>43646</v>
      </c>
      <c r="F85" s="50"/>
      <c r="G85" s="50"/>
      <c r="H85" s="50"/>
      <c r="I85" s="50"/>
      <c r="J85" s="59"/>
      <c r="K85" s="55"/>
      <c r="L85" s="55"/>
      <c r="M85" s="55"/>
      <c r="N85" s="55"/>
      <c r="O85" s="62"/>
      <c r="P85" s="81"/>
      <c r="Q85" s="62"/>
    </row>
    <row r="86" spans="1:17" x14ac:dyDescent="0.3">
      <c r="A86" s="51">
        <v>83</v>
      </c>
      <c r="B86" s="51">
        <v>806</v>
      </c>
      <c r="C86" s="50"/>
      <c r="D86" s="53" t="s">
        <v>109</v>
      </c>
      <c r="E86" s="56">
        <v>43804</v>
      </c>
      <c r="F86" s="50"/>
      <c r="G86" s="50"/>
      <c r="H86" s="50"/>
      <c r="I86" s="50"/>
      <c r="J86" s="59"/>
      <c r="K86" s="55"/>
      <c r="L86" s="55"/>
      <c r="M86" s="55"/>
      <c r="N86" s="55"/>
      <c r="O86" s="62"/>
      <c r="P86" s="81"/>
      <c r="Q86" s="62"/>
    </row>
    <row r="87" spans="1:17" x14ac:dyDescent="0.3">
      <c r="A87" s="51">
        <v>84</v>
      </c>
      <c r="B87" s="51">
        <v>809</v>
      </c>
      <c r="C87" s="50"/>
      <c r="D87" s="53" t="s">
        <v>109</v>
      </c>
      <c r="E87" s="56">
        <v>43806</v>
      </c>
      <c r="F87" s="50"/>
      <c r="G87" s="50"/>
      <c r="H87" s="50"/>
      <c r="I87" s="50"/>
      <c r="J87" s="59"/>
      <c r="K87" s="55"/>
      <c r="L87" s="55"/>
      <c r="M87" s="55"/>
      <c r="N87" s="55"/>
      <c r="O87" s="62"/>
      <c r="P87" s="81"/>
      <c r="Q87" s="62"/>
    </row>
    <row r="88" spans="1:17" x14ac:dyDescent="0.3">
      <c r="A88" s="51">
        <v>85</v>
      </c>
      <c r="B88" s="51">
        <v>810</v>
      </c>
      <c r="C88" s="50"/>
      <c r="D88" s="53" t="s">
        <v>109</v>
      </c>
      <c r="E88" s="56">
        <v>43807</v>
      </c>
      <c r="F88" s="50"/>
      <c r="G88" s="50"/>
      <c r="H88" s="50"/>
      <c r="I88" s="50"/>
      <c r="J88" s="59"/>
      <c r="K88" s="55"/>
      <c r="L88" s="55"/>
      <c r="M88" s="55"/>
      <c r="N88" s="55"/>
      <c r="O88" s="62"/>
      <c r="P88" s="81"/>
      <c r="Q88" s="62"/>
    </row>
    <row r="89" spans="1:17" x14ac:dyDescent="0.3">
      <c r="A89" s="51">
        <v>86</v>
      </c>
      <c r="B89" s="51">
        <v>811</v>
      </c>
      <c r="C89" s="50"/>
      <c r="D89" s="53" t="s">
        <v>109</v>
      </c>
      <c r="E89" s="56">
        <v>43807</v>
      </c>
      <c r="F89" s="50"/>
      <c r="G89" s="50"/>
      <c r="H89" s="50"/>
      <c r="I89" s="50"/>
      <c r="J89" s="59"/>
      <c r="K89" s="55"/>
      <c r="L89" s="55"/>
      <c r="M89" s="55"/>
      <c r="N89" s="55"/>
      <c r="O89" s="62"/>
      <c r="P89" s="81"/>
      <c r="Q89" s="62"/>
    </row>
    <row r="90" spans="1:17" x14ac:dyDescent="0.3">
      <c r="A90" s="51">
        <v>87</v>
      </c>
      <c r="B90" s="51">
        <v>812</v>
      </c>
      <c r="C90" s="50"/>
      <c r="D90" s="53" t="s">
        <v>109</v>
      </c>
      <c r="E90" s="56">
        <v>43809</v>
      </c>
      <c r="F90" s="50"/>
      <c r="G90" s="50"/>
      <c r="H90" s="50"/>
      <c r="I90" s="50"/>
      <c r="J90" s="59"/>
      <c r="K90" s="55"/>
      <c r="L90" s="55"/>
      <c r="M90" s="55"/>
      <c r="N90" s="55"/>
      <c r="O90" s="62"/>
      <c r="P90" s="81"/>
      <c r="Q90" s="62"/>
    </row>
    <row r="91" spans="1:17" x14ac:dyDescent="0.3">
      <c r="A91" s="51">
        <v>88</v>
      </c>
      <c r="B91" s="51">
        <v>814</v>
      </c>
      <c r="C91" s="50"/>
      <c r="D91" s="53" t="s">
        <v>110</v>
      </c>
      <c r="E91" s="56">
        <v>43811</v>
      </c>
      <c r="F91" s="50"/>
      <c r="G91" s="50"/>
      <c r="H91" s="50"/>
      <c r="I91" s="50"/>
      <c r="J91" s="59"/>
      <c r="K91" s="55"/>
      <c r="L91" s="55"/>
      <c r="M91" s="55"/>
      <c r="N91" s="55"/>
      <c r="O91" s="62"/>
      <c r="P91" s="81"/>
      <c r="Q91" s="62"/>
    </row>
    <row r="92" spans="1:17" x14ac:dyDescent="0.3">
      <c r="A92" s="51">
        <v>89</v>
      </c>
      <c r="B92" s="51">
        <v>815</v>
      </c>
      <c r="C92" s="50"/>
      <c r="D92" s="53" t="s">
        <v>110</v>
      </c>
      <c r="E92" s="56">
        <v>43811</v>
      </c>
      <c r="F92" s="50"/>
      <c r="G92" s="50"/>
      <c r="H92" s="50"/>
      <c r="I92" s="50"/>
      <c r="J92" s="59"/>
      <c r="K92" s="55"/>
      <c r="L92" s="55"/>
      <c r="M92" s="55"/>
      <c r="N92" s="55"/>
      <c r="O92" s="62"/>
      <c r="P92" s="81"/>
      <c r="Q92" s="62"/>
    </row>
    <row r="93" spans="1:17" x14ac:dyDescent="0.3">
      <c r="A93" s="51">
        <v>90</v>
      </c>
      <c r="B93" s="51">
        <v>816</v>
      </c>
      <c r="C93" s="50"/>
      <c r="D93" s="53" t="s">
        <v>109</v>
      </c>
      <c r="E93" s="56">
        <v>43812</v>
      </c>
      <c r="F93" s="50"/>
      <c r="G93" s="50"/>
      <c r="H93" s="50"/>
      <c r="I93" s="50"/>
      <c r="J93" s="59"/>
      <c r="K93" s="55"/>
      <c r="L93" s="55"/>
      <c r="M93" s="55"/>
      <c r="N93" s="55"/>
      <c r="O93" s="62"/>
      <c r="P93" s="81"/>
      <c r="Q93" s="62"/>
    </row>
    <row r="94" spans="1:17" x14ac:dyDescent="0.3">
      <c r="A94" s="51">
        <v>91</v>
      </c>
      <c r="B94" s="51">
        <v>818</v>
      </c>
      <c r="C94" s="50"/>
      <c r="D94" s="53" t="s">
        <v>109</v>
      </c>
      <c r="E94" s="56">
        <v>43814</v>
      </c>
      <c r="F94" s="50"/>
      <c r="G94" s="50"/>
      <c r="H94" s="50"/>
      <c r="I94" s="50"/>
      <c r="J94" s="59"/>
      <c r="K94" s="55"/>
      <c r="L94" s="55"/>
      <c r="M94" s="55"/>
      <c r="N94" s="55"/>
      <c r="O94" s="62"/>
      <c r="P94" s="81"/>
      <c r="Q94" s="62"/>
    </row>
    <row r="95" spans="1:17" x14ac:dyDescent="0.3">
      <c r="A95" s="51">
        <v>92</v>
      </c>
      <c r="B95" s="51">
        <v>819</v>
      </c>
      <c r="C95" s="50"/>
      <c r="D95" s="53" t="s">
        <v>109</v>
      </c>
      <c r="E95" s="56">
        <v>43815</v>
      </c>
      <c r="F95" s="50"/>
      <c r="G95" s="50"/>
      <c r="H95" s="50"/>
      <c r="I95" s="50"/>
      <c r="J95" s="59"/>
      <c r="K95" s="55"/>
      <c r="L95" s="55"/>
      <c r="M95" s="55"/>
      <c r="N95" s="55"/>
      <c r="O95" s="62"/>
      <c r="P95" s="81"/>
      <c r="Q95" s="62"/>
    </row>
    <row r="96" spans="1:17" x14ac:dyDescent="0.3">
      <c r="A96" s="51">
        <v>93</v>
      </c>
      <c r="B96" s="51">
        <v>820</v>
      </c>
      <c r="C96" s="50"/>
      <c r="D96" s="53" t="s">
        <v>109</v>
      </c>
      <c r="E96" s="56">
        <v>43816</v>
      </c>
      <c r="F96" s="50"/>
      <c r="G96" s="50"/>
      <c r="H96" s="50"/>
      <c r="I96" s="50"/>
      <c r="J96" s="59"/>
      <c r="K96" s="55"/>
      <c r="L96" s="55"/>
      <c r="M96" s="55"/>
      <c r="N96" s="55"/>
      <c r="O96" s="62"/>
      <c r="P96" s="81"/>
      <c r="Q96" s="62"/>
    </row>
    <row r="97" spans="1:17" x14ac:dyDescent="0.3">
      <c r="A97" s="51">
        <v>94</v>
      </c>
      <c r="B97" s="51">
        <v>824</v>
      </c>
      <c r="C97" s="50"/>
      <c r="D97" s="53" t="s">
        <v>109</v>
      </c>
      <c r="E97" s="56">
        <v>43819</v>
      </c>
      <c r="F97" s="50"/>
      <c r="G97" s="50"/>
      <c r="H97" s="50"/>
      <c r="I97" s="50"/>
      <c r="J97" s="59"/>
      <c r="K97" s="55"/>
      <c r="L97" s="55"/>
      <c r="M97" s="55"/>
      <c r="N97" s="55"/>
      <c r="O97" s="62"/>
      <c r="P97" s="81"/>
      <c r="Q97" s="62"/>
    </row>
    <row r="98" spans="1:17" x14ac:dyDescent="0.3">
      <c r="A98" s="51">
        <v>95</v>
      </c>
      <c r="B98" s="51">
        <v>826</v>
      </c>
      <c r="C98" s="50"/>
      <c r="D98" s="53" t="s">
        <v>109</v>
      </c>
      <c r="E98" s="56">
        <v>43821</v>
      </c>
      <c r="F98" s="50"/>
      <c r="G98" s="50"/>
      <c r="H98" s="50"/>
      <c r="I98" s="50"/>
      <c r="J98" s="59"/>
      <c r="K98" s="55"/>
      <c r="L98" s="55"/>
      <c r="M98" s="55"/>
      <c r="N98" s="55"/>
      <c r="O98" s="62"/>
      <c r="P98" s="81"/>
      <c r="Q98" s="62"/>
    </row>
    <row r="99" spans="1:17" x14ac:dyDescent="0.3">
      <c r="A99" s="51">
        <v>96</v>
      </c>
      <c r="B99" s="51"/>
      <c r="C99" s="50"/>
      <c r="D99" s="53"/>
      <c r="E99" s="56"/>
      <c r="F99" s="50"/>
      <c r="G99" s="50"/>
      <c r="H99" s="50"/>
      <c r="I99" s="50"/>
      <c r="J99" s="59"/>
      <c r="K99" s="55"/>
      <c r="L99" s="55"/>
      <c r="M99" s="55"/>
      <c r="N99" s="55"/>
      <c r="O99" s="62"/>
      <c r="P99" s="81"/>
      <c r="Q99" s="62"/>
    </row>
    <row r="100" spans="1:17" x14ac:dyDescent="0.3">
      <c r="A100" s="51">
        <v>97</v>
      </c>
      <c r="B100" s="51"/>
      <c r="C100" s="50"/>
      <c r="D100" s="53"/>
      <c r="E100" s="56"/>
      <c r="F100" s="50"/>
      <c r="G100" s="50"/>
      <c r="H100" s="50"/>
      <c r="I100" s="50"/>
      <c r="J100" s="59"/>
      <c r="K100" s="55"/>
      <c r="L100" s="55"/>
      <c r="M100" s="55"/>
      <c r="N100" s="55"/>
      <c r="O100" s="62"/>
      <c r="P100" s="81"/>
      <c r="Q100" s="62"/>
    </row>
    <row r="101" spans="1:17" x14ac:dyDescent="0.3">
      <c r="A101" s="51">
        <v>98</v>
      </c>
      <c r="B101" s="51"/>
      <c r="C101" s="50"/>
      <c r="D101" s="53"/>
      <c r="E101" s="56"/>
      <c r="F101" s="50"/>
      <c r="G101" s="50"/>
      <c r="H101" s="50"/>
      <c r="I101" s="50"/>
      <c r="J101" s="59"/>
      <c r="K101" s="55"/>
      <c r="L101" s="55"/>
      <c r="M101" s="55"/>
      <c r="N101" s="55"/>
      <c r="O101" s="62"/>
      <c r="P101" s="81"/>
      <c r="Q101" s="62"/>
    </row>
    <row r="102" spans="1:17" x14ac:dyDescent="0.3">
      <c r="A102" s="51">
        <v>99</v>
      </c>
      <c r="B102" s="51"/>
      <c r="C102" s="50"/>
      <c r="D102" s="53"/>
      <c r="E102" s="56"/>
      <c r="F102" s="50"/>
      <c r="G102" s="50"/>
      <c r="H102" s="50"/>
      <c r="I102" s="50"/>
      <c r="J102" s="59"/>
      <c r="K102" s="55"/>
      <c r="L102" s="55"/>
      <c r="M102" s="55"/>
      <c r="N102" s="55"/>
      <c r="O102" s="62"/>
      <c r="P102" s="81"/>
      <c r="Q102" s="62"/>
    </row>
    <row r="103" spans="1:17" x14ac:dyDescent="0.3">
      <c r="A103" s="51">
        <v>100</v>
      </c>
      <c r="B103" s="51"/>
      <c r="C103" s="50"/>
      <c r="D103" s="53"/>
      <c r="E103" s="56"/>
      <c r="F103" s="50"/>
      <c r="G103" s="50"/>
      <c r="H103" s="50"/>
      <c r="I103" s="50"/>
      <c r="J103" s="59"/>
      <c r="K103" s="55"/>
      <c r="L103" s="55"/>
      <c r="M103" s="55"/>
      <c r="N103" s="55"/>
      <c r="O103" s="62"/>
      <c r="P103" s="81"/>
      <c r="Q103" s="62"/>
    </row>
    <row r="104" spans="1:17" x14ac:dyDescent="0.3">
      <c r="A104" s="51">
        <v>101</v>
      </c>
      <c r="B104" s="51"/>
      <c r="C104" s="50"/>
      <c r="D104" s="53"/>
      <c r="E104" s="56"/>
      <c r="F104" s="50"/>
      <c r="G104" s="50"/>
      <c r="H104" s="50"/>
      <c r="I104" s="50"/>
      <c r="J104" s="59"/>
      <c r="K104" s="55"/>
      <c r="L104" s="55"/>
      <c r="M104" s="55"/>
      <c r="N104" s="55"/>
      <c r="O104" s="62"/>
      <c r="P104" s="81"/>
      <c r="Q104" s="62"/>
    </row>
    <row r="105" spans="1:17" x14ac:dyDescent="0.3">
      <c r="A105" s="51">
        <v>102</v>
      </c>
      <c r="B105" s="51"/>
      <c r="C105" s="50"/>
      <c r="D105" s="53"/>
      <c r="E105" s="56"/>
      <c r="F105" s="50"/>
      <c r="G105" s="50"/>
      <c r="H105" s="50"/>
      <c r="I105" s="50"/>
      <c r="J105" s="59"/>
      <c r="K105" s="55"/>
      <c r="L105" s="55"/>
      <c r="M105" s="55"/>
      <c r="N105" s="55"/>
      <c r="O105" s="62"/>
      <c r="P105" s="81"/>
      <c r="Q105" s="62"/>
    </row>
    <row r="106" spans="1:17" x14ac:dyDescent="0.3">
      <c r="A106" s="51">
        <v>103</v>
      </c>
      <c r="B106" s="51"/>
      <c r="C106" s="50"/>
      <c r="D106" s="53"/>
      <c r="E106" s="56"/>
      <c r="F106" s="50"/>
      <c r="G106" s="50"/>
      <c r="H106" s="50"/>
      <c r="I106" s="50"/>
      <c r="J106" s="59"/>
      <c r="K106" s="55"/>
      <c r="L106" s="55"/>
      <c r="M106" s="55"/>
      <c r="N106" s="55"/>
      <c r="O106" s="62"/>
      <c r="P106" s="81"/>
      <c r="Q106" s="62"/>
    </row>
    <row r="107" spans="1:17" x14ac:dyDescent="0.3">
      <c r="A107" s="51">
        <v>104</v>
      </c>
      <c r="B107" s="51"/>
      <c r="C107" s="50"/>
      <c r="D107" s="53"/>
      <c r="E107" s="56"/>
      <c r="F107" s="50"/>
      <c r="G107" s="50"/>
      <c r="H107" s="50"/>
      <c r="I107" s="50"/>
      <c r="J107" s="59"/>
      <c r="K107" s="55"/>
      <c r="L107" s="55"/>
      <c r="M107" s="55"/>
      <c r="N107" s="55"/>
      <c r="O107" s="62"/>
      <c r="P107" s="81"/>
      <c r="Q107" s="62"/>
    </row>
    <row r="108" spans="1:17" x14ac:dyDescent="0.3">
      <c r="A108" s="51">
        <v>105</v>
      </c>
      <c r="B108" s="51"/>
      <c r="C108" s="50"/>
      <c r="D108" s="53"/>
      <c r="E108" s="56"/>
      <c r="F108" s="50"/>
      <c r="G108" s="50"/>
      <c r="H108" s="50"/>
      <c r="I108" s="50"/>
      <c r="J108" s="59"/>
      <c r="K108" s="55"/>
      <c r="L108" s="55"/>
      <c r="M108" s="55"/>
      <c r="N108" s="55"/>
      <c r="O108" s="62"/>
      <c r="Q108" s="62"/>
    </row>
    <row r="109" spans="1:17" x14ac:dyDescent="0.3">
      <c r="A109" s="51">
        <v>106</v>
      </c>
      <c r="B109" s="51"/>
      <c r="C109" s="50"/>
      <c r="D109" s="53"/>
      <c r="E109" s="56"/>
      <c r="F109" s="50"/>
      <c r="G109" s="50"/>
      <c r="H109" s="50"/>
      <c r="I109" s="50"/>
      <c r="J109" s="59"/>
      <c r="K109" s="55"/>
      <c r="L109" s="55"/>
      <c r="M109" s="55"/>
      <c r="N109" s="55"/>
      <c r="O109" s="62"/>
    </row>
    <row r="110" spans="1:17" x14ac:dyDescent="0.3">
      <c r="A110" s="51">
        <v>107</v>
      </c>
      <c r="B110" s="51"/>
      <c r="C110" s="50"/>
      <c r="D110" s="53"/>
      <c r="E110" s="56"/>
      <c r="F110" s="50"/>
      <c r="G110" s="50"/>
      <c r="H110" s="50"/>
      <c r="I110" s="50"/>
      <c r="J110" s="59"/>
      <c r="K110" s="55"/>
      <c r="L110" s="55"/>
      <c r="M110" s="55"/>
      <c r="N110" s="55"/>
      <c r="O110" s="62"/>
    </row>
    <row r="111" spans="1:17" x14ac:dyDescent="0.3">
      <c r="A111" s="51">
        <v>108</v>
      </c>
      <c r="B111" s="51"/>
      <c r="C111" s="50"/>
      <c r="D111" s="53"/>
      <c r="E111" s="56"/>
      <c r="F111" s="50"/>
      <c r="G111" s="50"/>
      <c r="H111" s="50"/>
      <c r="I111" s="50"/>
      <c r="J111" s="59"/>
      <c r="K111" s="55"/>
      <c r="L111" s="55"/>
      <c r="M111" s="55"/>
      <c r="N111" s="55"/>
      <c r="O111" s="62"/>
    </row>
    <row r="112" spans="1:17" x14ac:dyDescent="0.3">
      <c r="A112" s="51">
        <v>109</v>
      </c>
      <c r="B112" s="51"/>
      <c r="C112" s="50"/>
      <c r="D112" s="53"/>
      <c r="E112" s="56"/>
      <c r="F112" s="50"/>
      <c r="G112" s="50"/>
      <c r="H112" s="50"/>
      <c r="I112" s="50"/>
      <c r="J112" s="59"/>
      <c r="K112" s="55"/>
      <c r="L112" s="55"/>
      <c r="M112" s="55"/>
      <c r="N112" s="55"/>
      <c r="O112" s="62"/>
    </row>
    <row r="113" spans="1:21" x14ac:dyDescent="0.3">
      <c r="A113" s="51">
        <v>110</v>
      </c>
      <c r="B113" s="51"/>
      <c r="C113" s="50"/>
      <c r="D113" s="53"/>
      <c r="E113" s="56"/>
      <c r="F113" s="50"/>
      <c r="G113" s="50"/>
      <c r="H113" s="50"/>
      <c r="I113" s="50"/>
      <c r="J113" s="59"/>
      <c r="K113" s="55"/>
      <c r="L113" s="55"/>
      <c r="M113" s="55"/>
      <c r="N113" s="55"/>
      <c r="O113" s="62"/>
    </row>
    <row r="114" spans="1:21" x14ac:dyDescent="0.3">
      <c r="A114" s="51">
        <v>111</v>
      </c>
      <c r="B114" s="51"/>
      <c r="C114" s="50"/>
      <c r="D114" s="53"/>
      <c r="E114" s="56"/>
      <c r="F114" s="50"/>
      <c r="G114" s="50"/>
      <c r="H114" s="50"/>
      <c r="I114" s="50"/>
      <c r="J114" s="59"/>
      <c r="K114" s="55"/>
      <c r="L114" s="55"/>
      <c r="M114" s="55"/>
      <c r="N114" s="55"/>
      <c r="O114" s="62"/>
    </row>
    <row r="115" spans="1:21" x14ac:dyDescent="0.3">
      <c r="A115" s="51">
        <v>112</v>
      </c>
      <c r="B115" s="51"/>
      <c r="C115" s="50"/>
      <c r="D115" s="53"/>
      <c r="E115" s="56"/>
      <c r="F115" s="50"/>
      <c r="G115" s="50"/>
      <c r="H115" s="50"/>
      <c r="I115" s="50"/>
      <c r="J115" s="59"/>
      <c r="K115" s="55"/>
      <c r="L115" s="55"/>
      <c r="M115" s="55"/>
      <c r="N115" s="55"/>
      <c r="O115" s="62"/>
    </row>
    <row r="116" spans="1:21" x14ac:dyDescent="0.3">
      <c r="A116" s="51">
        <v>113</v>
      </c>
      <c r="B116" s="51"/>
      <c r="C116" s="50"/>
      <c r="D116" s="53"/>
      <c r="E116" s="56"/>
      <c r="F116" s="50"/>
      <c r="G116" s="50"/>
      <c r="H116" s="50"/>
      <c r="I116" s="50"/>
      <c r="J116" s="59"/>
      <c r="K116" s="55"/>
      <c r="L116" s="55"/>
      <c r="M116" s="55"/>
      <c r="N116" s="55"/>
      <c r="O116" s="62"/>
    </row>
    <row r="117" spans="1:21" x14ac:dyDescent="0.3">
      <c r="A117" s="51">
        <v>114</v>
      </c>
      <c r="B117" s="51"/>
      <c r="C117" s="50"/>
      <c r="D117" s="53"/>
      <c r="E117" s="56"/>
      <c r="F117" s="50"/>
      <c r="G117" s="50"/>
      <c r="H117" s="50"/>
      <c r="I117" s="50"/>
      <c r="J117" s="59"/>
      <c r="K117" s="55"/>
      <c r="L117" s="55"/>
      <c r="M117" s="55"/>
      <c r="N117" s="55"/>
      <c r="O117" s="62"/>
    </row>
    <row r="118" spans="1:21" x14ac:dyDescent="0.3">
      <c r="A118" s="51">
        <v>115</v>
      </c>
      <c r="B118" s="51"/>
      <c r="C118" s="50"/>
      <c r="D118" s="53"/>
      <c r="E118" s="56"/>
      <c r="F118" s="50"/>
      <c r="G118" s="50"/>
      <c r="H118" s="50"/>
      <c r="I118" s="50"/>
      <c r="J118" s="59"/>
      <c r="K118" s="55"/>
      <c r="L118" s="55"/>
      <c r="M118" s="55"/>
      <c r="N118" s="55"/>
      <c r="O118" s="62"/>
    </row>
    <row r="119" spans="1:21" x14ac:dyDescent="0.3">
      <c r="A119" s="51">
        <v>116</v>
      </c>
      <c r="B119" s="51"/>
      <c r="C119" s="50"/>
      <c r="D119" s="53"/>
      <c r="E119" s="56"/>
      <c r="F119" s="50"/>
      <c r="G119" s="50"/>
      <c r="H119" s="50"/>
      <c r="I119" s="50"/>
      <c r="J119" s="59"/>
      <c r="K119" s="55"/>
      <c r="L119" s="55"/>
      <c r="M119" s="55"/>
      <c r="N119" s="55"/>
      <c r="O119" s="62"/>
    </row>
    <row r="120" spans="1:21" x14ac:dyDescent="0.3">
      <c r="A120" s="51">
        <v>117</v>
      </c>
      <c r="B120" s="51"/>
      <c r="C120" s="50"/>
      <c r="D120" s="53"/>
      <c r="E120" s="56"/>
      <c r="F120" s="50"/>
      <c r="G120" s="50"/>
      <c r="H120" s="50"/>
      <c r="I120" s="50"/>
      <c r="J120" s="59"/>
      <c r="K120" s="55"/>
      <c r="L120" s="55"/>
      <c r="M120" s="55"/>
      <c r="N120" s="55"/>
      <c r="O120" s="62"/>
    </row>
    <row r="121" spans="1:21" x14ac:dyDescent="0.3">
      <c r="A121" s="51">
        <v>118</v>
      </c>
      <c r="B121" s="51"/>
      <c r="C121" s="50"/>
      <c r="D121" s="53"/>
      <c r="E121" s="56"/>
      <c r="F121" s="50"/>
      <c r="G121" s="50"/>
      <c r="H121" s="50"/>
      <c r="I121" s="50"/>
      <c r="J121" s="59"/>
      <c r="K121" s="55"/>
      <c r="L121" s="55"/>
      <c r="M121" s="55"/>
      <c r="N121" s="55"/>
      <c r="O121" s="62"/>
    </row>
    <row r="122" spans="1:21" x14ac:dyDescent="0.3">
      <c r="A122" s="51">
        <v>119</v>
      </c>
      <c r="B122" s="51"/>
      <c r="C122" s="50"/>
      <c r="D122" s="53"/>
      <c r="E122" s="56"/>
      <c r="F122" s="50"/>
      <c r="G122" s="50"/>
      <c r="H122" s="50"/>
      <c r="I122" s="50"/>
      <c r="J122" s="59"/>
      <c r="K122" s="55"/>
      <c r="L122" s="55"/>
      <c r="M122" s="55"/>
      <c r="N122" s="55"/>
      <c r="O122" s="62"/>
    </row>
    <row r="123" spans="1:21" x14ac:dyDescent="0.3">
      <c r="A123" s="51"/>
      <c r="B123" s="51"/>
      <c r="C123" s="50"/>
      <c r="D123" s="53"/>
      <c r="E123" s="56"/>
      <c r="F123" s="50"/>
      <c r="G123" s="50"/>
      <c r="H123" s="50"/>
      <c r="I123" s="50"/>
      <c r="J123" s="59"/>
      <c r="K123" s="55"/>
      <c r="L123" s="55"/>
      <c r="M123" s="55"/>
      <c r="N123" s="55"/>
      <c r="O123" s="62"/>
    </row>
    <row r="124" spans="1:21" x14ac:dyDescent="0.3">
      <c r="A124" s="51"/>
      <c r="B124" s="51"/>
      <c r="C124" s="50"/>
      <c r="D124" s="53"/>
      <c r="E124" s="56"/>
      <c r="F124" s="50"/>
      <c r="G124" s="50"/>
      <c r="H124" s="50"/>
      <c r="I124" s="50"/>
      <c r="J124" s="59"/>
      <c r="K124" s="55"/>
      <c r="L124" s="55"/>
      <c r="M124" s="55"/>
      <c r="N124" s="55"/>
      <c r="O124" s="62"/>
    </row>
    <row r="125" spans="1:21" x14ac:dyDescent="0.3">
      <c r="A125" s="51"/>
      <c r="B125" s="51"/>
      <c r="C125" s="50"/>
      <c r="D125" s="53"/>
      <c r="E125" s="56"/>
      <c r="F125" s="50"/>
      <c r="G125" s="50"/>
      <c r="H125" s="50"/>
      <c r="I125" s="50"/>
      <c r="J125" s="59"/>
      <c r="K125" s="55"/>
      <c r="L125" s="55"/>
      <c r="M125" s="55"/>
      <c r="N125" s="55"/>
      <c r="O125" s="62"/>
    </row>
    <row r="127" spans="1:21" s="6" customFormat="1" x14ac:dyDescent="0.3">
      <c r="A127"/>
      <c r="B127" s="6" t="s">
        <v>125</v>
      </c>
      <c r="C127" s="6" t="s">
        <v>121</v>
      </c>
      <c r="D127" s="6" t="s">
        <v>126</v>
      </c>
      <c r="E127" s="6" t="s">
        <v>120</v>
      </c>
      <c r="K127"/>
      <c r="L127"/>
      <c r="M127"/>
      <c r="N127"/>
      <c r="O127"/>
      <c r="P127"/>
      <c r="Q127"/>
      <c r="R127"/>
      <c r="S127"/>
      <c r="T127"/>
      <c r="U127"/>
    </row>
    <row r="128" spans="1:21" s="6" customFormat="1" x14ac:dyDescent="0.3">
      <c r="A128"/>
      <c r="B128" s="6" t="s">
        <v>122</v>
      </c>
      <c r="C128" s="6" t="s">
        <v>121</v>
      </c>
      <c r="D128" s="6" t="s">
        <v>123</v>
      </c>
      <c r="E128" s="6" t="s">
        <v>124</v>
      </c>
      <c r="K128"/>
      <c r="L128"/>
      <c r="M128"/>
      <c r="N128"/>
      <c r="O128"/>
      <c r="P128"/>
      <c r="Q128"/>
      <c r="R128"/>
      <c r="S128"/>
      <c r="T128"/>
      <c r="U128"/>
    </row>
    <row r="129" spans="1:21" s="6" customFormat="1" x14ac:dyDescent="0.3">
      <c r="A129"/>
      <c r="B129" s="6" t="s">
        <v>128</v>
      </c>
      <c r="C129" s="6" t="s">
        <v>127</v>
      </c>
      <c r="D129" s="6" t="s">
        <v>131</v>
      </c>
      <c r="K129"/>
      <c r="L129"/>
      <c r="M129"/>
      <c r="N129"/>
      <c r="O129"/>
      <c r="P129"/>
      <c r="Q129"/>
      <c r="R129"/>
      <c r="S129"/>
      <c r="T129"/>
      <c r="U129"/>
    </row>
    <row r="130" spans="1:21" s="6" customFormat="1" x14ac:dyDescent="0.3">
      <c r="A130"/>
      <c r="B130" s="6" t="s">
        <v>129</v>
      </c>
      <c r="C130" s="6" t="s">
        <v>127</v>
      </c>
      <c r="D130" s="6" t="s">
        <v>130</v>
      </c>
      <c r="K130"/>
      <c r="L130"/>
      <c r="M130"/>
      <c r="N130"/>
      <c r="O130"/>
      <c r="P130"/>
      <c r="Q130"/>
      <c r="R130"/>
      <c r="S130"/>
      <c r="T130"/>
      <c r="U130"/>
    </row>
    <row r="133" spans="1:21" s="6" customFormat="1" x14ac:dyDescent="0.3">
      <c r="A133"/>
      <c r="B133" s="68" t="s">
        <v>141</v>
      </c>
      <c r="D133" s="69" t="s">
        <v>146</v>
      </c>
      <c r="E133" s="69" t="s">
        <v>144</v>
      </c>
      <c r="F133" s="69" t="s">
        <v>145</v>
      </c>
      <c r="K133"/>
      <c r="L133"/>
      <c r="M133"/>
      <c r="N133"/>
      <c r="O133"/>
      <c r="P133"/>
      <c r="Q133"/>
      <c r="R133"/>
      <c r="S133"/>
      <c r="T133"/>
      <c r="U133"/>
    </row>
    <row r="134" spans="1:21" s="6" customFormat="1" x14ac:dyDescent="0.3">
      <c r="A134"/>
      <c r="B134" s="6" t="s">
        <v>142</v>
      </c>
      <c r="D134" s="69">
        <f>SUM(D135:D136)</f>
        <v>46</v>
      </c>
      <c r="E134" s="4">
        <v>100</v>
      </c>
      <c r="F134" s="69">
        <f>SUM(F135:F136)</f>
        <v>37</v>
      </c>
      <c r="K134"/>
      <c r="L134"/>
      <c r="M134"/>
      <c r="N134"/>
      <c r="O134"/>
      <c r="P134"/>
      <c r="Q134"/>
      <c r="R134"/>
      <c r="S134"/>
      <c r="T134"/>
      <c r="U134"/>
    </row>
    <row r="135" spans="1:21" s="6" customFormat="1" x14ac:dyDescent="0.3">
      <c r="A135"/>
      <c r="C135" s="6" t="s">
        <v>143</v>
      </c>
      <c r="D135" s="4">
        <v>28</v>
      </c>
      <c r="E135" s="4">
        <v>50</v>
      </c>
      <c r="F135" s="4">
        <f>D134*50%</f>
        <v>23</v>
      </c>
      <c r="K135"/>
      <c r="L135"/>
      <c r="M135"/>
      <c r="N135"/>
      <c r="O135"/>
      <c r="P135"/>
      <c r="Q135"/>
      <c r="R135"/>
      <c r="S135"/>
      <c r="T135"/>
      <c r="U135"/>
    </row>
    <row r="136" spans="1:21" s="6" customFormat="1" x14ac:dyDescent="0.3">
      <c r="A136"/>
      <c r="C136" s="6" t="s">
        <v>118</v>
      </c>
      <c r="D136" s="4">
        <v>18</v>
      </c>
      <c r="E136" s="4">
        <v>50</v>
      </c>
      <c r="F136" s="4">
        <f>D135*50%</f>
        <v>14</v>
      </c>
      <c r="K136"/>
      <c r="L136"/>
      <c r="M136"/>
      <c r="N136"/>
      <c r="O136"/>
      <c r="P136"/>
      <c r="Q136"/>
      <c r="R136"/>
      <c r="S136"/>
      <c r="T136"/>
      <c r="U136"/>
    </row>
    <row r="137" spans="1:21" s="6" customFormat="1" x14ac:dyDescent="0.3">
      <c r="A137"/>
      <c r="E137" s="4"/>
      <c r="K137"/>
      <c r="L137"/>
      <c r="M137"/>
      <c r="N137"/>
      <c r="O137"/>
      <c r="P137"/>
      <c r="Q137"/>
      <c r="R137"/>
      <c r="S137"/>
      <c r="T137"/>
      <c r="U137"/>
    </row>
    <row r="138" spans="1:21" s="6" customFormat="1" x14ac:dyDescent="0.3">
      <c r="A138"/>
      <c r="E138" s="4"/>
      <c r="K138"/>
      <c r="L138"/>
      <c r="M138"/>
      <c r="N138"/>
      <c r="O138"/>
      <c r="P138"/>
      <c r="Q138"/>
      <c r="R138"/>
      <c r="S138"/>
      <c r="T138"/>
      <c r="U138"/>
    </row>
    <row r="139" spans="1:21" s="6" customFormat="1" x14ac:dyDescent="0.3">
      <c r="A139"/>
      <c r="C139" s="6" t="s">
        <v>147</v>
      </c>
      <c r="D139" s="69">
        <v>1</v>
      </c>
      <c r="E139" s="4">
        <v>3</v>
      </c>
      <c r="F139" s="69">
        <v>1</v>
      </c>
      <c r="K139"/>
      <c r="L139"/>
      <c r="M139"/>
      <c r="N139"/>
      <c r="O139"/>
      <c r="P139"/>
      <c r="Q139"/>
      <c r="R139"/>
      <c r="S139"/>
      <c r="T139"/>
      <c r="U139"/>
    </row>
    <row r="140" spans="1:21" s="6" customFormat="1" x14ac:dyDescent="0.3">
      <c r="A140"/>
      <c r="D140" s="4"/>
      <c r="E140" s="4"/>
      <c r="K140"/>
      <c r="L140"/>
      <c r="M140"/>
      <c r="N140"/>
      <c r="O140"/>
      <c r="P140"/>
      <c r="Q140"/>
      <c r="R140"/>
      <c r="S140"/>
      <c r="T140"/>
      <c r="U140"/>
    </row>
    <row r="141" spans="1:21" s="6" customFormat="1" x14ac:dyDescent="0.3">
      <c r="A141"/>
      <c r="B141" s="6" t="s">
        <v>148</v>
      </c>
      <c r="D141" s="69">
        <f>SUM(D142:D145)</f>
        <v>47</v>
      </c>
      <c r="E141" s="4"/>
      <c r="F141" s="71">
        <f>SUM(F142:F145)</f>
        <v>43.7</v>
      </c>
      <c r="K141"/>
      <c r="L141"/>
      <c r="M141"/>
      <c r="N141"/>
      <c r="O141"/>
      <c r="P141"/>
      <c r="Q141"/>
      <c r="R141"/>
      <c r="S141"/>
      <c r="T141"/>
      <c r="U141"/>
    </row>
    <row r="142" spans="1:21" s="6" customFormat="1" x14ac:dyDescent="0.3">
      <c r="A142"/>
      <c r="C142" s="6" t="s">
        <v>149</v>
      </c>
      <c r="D142" s="4">
        <v>19</v>
      </c>
      <c r="E142" s="4" t="s">
        <v>155</v>
      </c>
      <c r="F142" s="70">
        <f>D134*10%</f>
        <v>4.6000000000000005</v>
      </c>
      <c r="K142"/>
      <c r="L142"/>
      <c r="M142"/>
      <c r="N142"/>
      <c r="O142"/>
      <c r="P142"/>
      <c r="Q142"/>
      <c r="R142"/>
      <c r="S142"/>
      <c r="T142"/>
      <c r="U142"/>
    </row>
    <row r="143" spans="1:21" s="6" customFormat="1" x14ac:dyDescent="0.3">
      <c r="A143"/>
      <c r="C143" s="6" t="s">
        <v>150</v>
      </c>
      <c r="D143" s="4">
        <v>5</v>
      </c>
      <c r="E143" s="4">
        <v>15</v>
      </c>
      <c r="F143" s="70">
        <f>D134*15%</f>
        <v>6.8999999999999995</v>
      </c>
      <c r="K143"/>
      <c r="L143"/>
      <c r="M143"/>
      <c r="N143"/>
      <c r="O143"/>
      <c r="P143"/>
      <c r="Q143"/>
      <c r="R143"/>
      <c r="S143"/>
      <c r="T143"/>
      <c r="U143"/>
    </row>
    <row r="144" spans="1:21" s="6" customFormat="1" x14ac:dyDescent="0.3">
      <c r="A144"/>
      <c r="C144" s="6" t="s">
        <v>151</v>
      </c>
      <c r="D144" s="4">
        <v>4</v>
      </c>
      <c r="E144" s="4">
        <v>20</v>
      </c>
      <c r="F144" s="70">
        <f>D134*20%</f>
        <v>9.2000000000000011</v>
      </c>
      <c r="K144"/>
      <c r="L144"/>
      <c r="M144"/>
      <c r="N144"/>
      <c r="O144"/>
      <c r="P144"/>
      <c r="Q144"/>
      <c r="R144"/>
      <c r="S144"/>
      <c r="T144"/>
      <c r="U144"/>
    </row>
    <row r="145" spans="1:21" s="6" customFormat="1" x14ac:dyDescent="0.3">
      <c r="A145"/>
      <c r="C145" s="6" t="s">
        <v>152</v>
      </c>
      <c r="D145" s="4">
        <v>19</v>
      </c>
      <c r="E145" s="4" t="s">
        <v>156</v>
      </c>
      <c r="F145" s="4">
        <f>D134*50%</f>
        <v>23</v>
      </c>
      <c r="K145"/>
      <c r="L145"/>
      <c r="M145"/>
      <c r="N145"/>
      <c r="O145"/>
      <c r="P145"/>
      <c r="Q145"/>
      <c r="R145"/>
      <c r="S145"/>
      <c r="T145"/>
      <c r="U145"/>
    </row>
    <row r="146" spans="1:21" s="6" customFormat="1" x14ac:dyDescent="0.3">
      <c r="A146"/>
      <c r="E146" s="4"/>
      <c r="F146" s="4"/>
      <c r="K146"/>
      <c r="L146"/>
      <c r="M146"/>
      <c r="N146"/>
      <c r="O146"/>
      <c r="P146"/>
      <c r="Q146"/>
      <c r="R146"/>
      <c r="S146"/>
      <c r="T146"/>
      <c r="U146"/>
    </row>
    <row r="147" spans="1:21" s="6" customFormat="1" x14ac:dyDescent="0.3">
      <c r="A147"/>
      <c r="D147" s="4"/>
      <c r="E147" s="4"/>
      <c r="F147" s="4"/>
      <c r="K147"/>
      <c r="L147"/>
      <c r="M147"/>
      <c r="N147"/>
      <c r="O147"/>
      <c r="P147"/>
      <c r="Q147"/>
      <c r="R147"/>
      <c r="S147"/>
      <c r="T147"/>
      <c r="U147"/>
    </row>
    <row r="148" spans="1:21" s="6" customFormat="1" x14ac:dyDescent="0.3">
      <c r="A148"/>
      <c r="B148" s="6" t="s">
        <v>153</v>
      </c>
      <c r="D148" s="69">
        <v>24</v>
      </c>
      <c r="E148" s="4" t="s">
        <v>156</v>
      </c>
      <c r="F148" s="69">
        <f>D134*50%</f>
        <v>23</v>
      </c>
      <c r="K148"/>
      <c r="L148"/>
      <c r="M148"/>
      <c r="N148"/>
      <c r="O148"/>
      <c r="P148"/>
      <c r="Q148"/>
      <c r="R148"/>
      <c r="S148"/>
      <c r="T148"/>
      <c r="U148"/>
    </row>
    <row r="149" spans="1:21" s="6" customFormat="1" x14ac:dyDescent="0.3">
      <c r="A149"/>
      <c r="D149" s="4"/>
      <c r="E149" s="4"/>
      <c r="K149"/>
      <c r="L149"/>
      <c r="M149"/>
      <c r="N149"/>
      <c r="O149"/>
      <c r="P149"/>
      <c r="Q149"/>
      <c r="R149"/>
      <c r="S149"/>
      <c r="T149"/>
      <c r="U149"/>
    </row>
    <row r="150" spans="1:21" s="6" customFormat="1" x14ac:dyDescent="0.3">
      <c r="A150"/>
      <c r="B150" s="6" t="s">
        <v>154</v>
      </c>
      <c r="D150" s="69">
        <f>D134+D139+D141+D148</f>
        <v>118</v>
      </c>
      <c r="E150" s="4"/>
      <c r="F150" s="71">
        <f>F134+F139+F141+F148</f>
        <v>104.7</v>
      </c>
      <c r="K150"/>
      <c r="L150"/>
      <c r="M150"/>
      <c r="N150"/>
      <c r="O150"/>
      <c r="P150"/>
      <c r="Q150"/>
      <c r="R150"/>
      <c r="S150"/>
      <c r="T150"/>
      <c r="U150"/>
    </row>
  </sheetData>
  <autoFilter ref="A2:R2" xr:uid="{00000000-0009-0000-0000-000005000000}">
    <sortState xmlns:xlrd2="http://schemas.microsoft.com/office/spreadsheetml/2017/richdata2" ref="A3:R63">
      <sortCondition descending="1" ref="P2"/>
    </sortState>
  </autoFilter>
  <sortState xmlns:xlrd2="http://schemas.microsoft.com/office/spreadsheetml/2017/richdata2" ref="U3:U45">
    <sortCondition ref="U3"/>
  </sortState>
  <pageMargins left="0.7" right="0.7" top="0.75" bottom="0.75" header="0.3" footer="0.3"/>
  <pageSetup orientation="portrait" r:id="rId1"/>
  <ignoredErrors>
    <ignoredError sqref="B3:B32 B33:B62" numberStoredAsText="1"/>
    <ignoredError sqref="I4:I17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8"/>
  <sheetViews>
    <sheetView zoomScale="98" zoomScaleNormal="98" workbookViewId="0">
      <pane xSplit="3" ySplit="2" topLeftCell="H39" activePane="bottomRight" state="frozen"/>
      <selection pane="topRight" activeCell="D1" sqref="D1"/>
      <selection pane="bottomLeft" activeCell="A3" sqref="A3"/>
      <selection pane="bottomRight" activeCell="O4" sqref="O4"/>
    </sheetView>
  </sheetViews>
  <sheetFormatPr defaultRowHeight="14.4" x14ac:dyDescent="0.3"/>
  <cols>
    <col min="2" max="2" width="12.33203125" style="6" customWidth="1"/>
    <col min="3" max="4" width="12.109375" style="6" customWidth="1"/>
    <col min="5" max="5" width="13.5546875" style="6" bestFit="1" customWidth="1"/>
    <col min="6" max="6" width="12.109375" style="6" customWidth="1"/>
    <col min="7" max="7" width="15.5546875" style="6" bestFit="1" customWidth="1"/>
    <col min="8" max="9" width="15.5546875" style="6" customWidth="1"/>
    <col min="10" max="10" width="14.44140625" style="6" bestFit="1" customWidth="1"/>
    <col min="11" max="11" width="15.44140625" bestFit="1" customWidth="1"/>
    <col min="12" max="12" width="9.33203125" customWidth="1"/>
    <col min="13" max="13" width="10.44140625" bestFit="1" customWidth="1"/>
    <col min="14" max="14" width="14.44140625" bestFit="1" customWidth="1"/>
    <col min="15" max="15" width="11.44140625" bestFit="1" customWidth="1"/>
    <col min="16" max="16" width="13.109375" customWidth="1"/>
    <col min="17" max="17" width="12.6640625" customWidth="1"/>
    <col min="18" max="19" width="10.44140625" bestFit="1" customWidth="1"/>
  </cols>
  <sheetData>
    <row r="1" spans="1:19" x14ac:dyDescent="0.3">
      <c r="N1" s="62">
        <v>44062</v>
      </c>
    </row>
    <row r="2" spans="1:19" x14ac:dyDescent="0.3">
      <c r="A2" s="61" t="s">
        <v>0</v>
      </c>
      <c r="B2" s="61" t="s">
        <v>1</v>
      </c>
      <c r="C2" s="61" t="s">
        <v>2</v>
      </c>
      <c r="D2" s="61" t="s">
        <v>104</v>
      </c>
      <c r="E2" s="61" t="s">
        <v>100</v>
      </c>
      <c r="F2" s="61" t="s">
        <v>101</v>
      </c>
      <c r="G2" s="61" t="s">
        <v>102</v>
      </c>
      <c r="H2" s="61" t="s">
        <v>116</v>
      </c>
      <c r="I2" s="61" t="s">
        <v>117</v>
      </c>
      <c r="J2" s="61" t="s">
        <v>103</v>
      </c>
      <c r="K2" s="61" t="s">
        <v>158</v>
      </c>
      <c r="L2" s="61" t="s">
        <v>106</v>
      </c>
      <c r="M2" s="61" t="s">
        <v>99</v>
      </c>
      <c r="N2" s="61" t="s">
        <v>159</v>
      </c>
      <c r="O2" s="67" t="s">
        <v>97</v>
      </c>
      <c r="P2" s="66" t="s">
        <v>118</v>
      </c>
    </row>
    <row r="3" spans="1:19" x14ac:dyDescent="0.3">
      <c r="A3" s="51">
        <v>48</v>
      </c>
      <c r="B3" s="103" t="s">
        <v>162</v>
      </c>
      <c r="C3" s="94"/>
      <c r="D3" s="94"/>
      <c r="E3" s="95">
        <v>42158</v>
      </c>
      <c r="F3" s="96"/>
      <c r="G3" s="96"/>
      <c r="H3" s="96"/>
      <c r="I3" s="97"/>
      <c r="J3" s="98"/>
      <c r="K3" s="99"/>
      <c r="L3" s="99"/>
      <c r="M3" s="99">
        <v>44002</v>
      </c>
      <c r="N3" s="82">
        <v>7</v>
      </c>
      <c r="O3" s="62">
        <f>(280-((N3*30)+59))+$N$1</f>
        <v>44073</v>
      </c>
      <c r="P3" s="80"/>
      <c r="Q3" s="62">
        <f>K3+300</f>
        <v>300</v>
      </c>
      <c r="R3" s="62"/>
      <c r="S3" s="62"/>
    </row>
    <row r="4" spans="1:19" x14ac:dyDescent="0.3">
      <c r="A4" s="51">
        <v>49</v>
      </c>
      <c r="B4" s="104">
        <v>120002</v>
      </c>
      <c r="C4" s="94"/>
      <c r="D4" s="94"/>
      <c r="E4" s="95">
        <v>42191</v>
      </c>
      <c r="F4" s="96"/>
      <c r="G4" s="96"/>
      <c r="H4" s="96"/>
      <c r="I4" s="97"/>
      <c r="J4" s="98"/>
      <c r="K4" s="99"/>
      <c r="L4" s="99"/>
      <c r="M4" s="99">
        <v>44002</v>
      </c>
      <c r="N4" s="82">
        <v>6.5</v>
      </c>
      <c r="O4" s="62">
        <f>(280-((N4*30)+59))+$N$1</f>
        <v>44088</v>
      </c>
      <c r="P4" s="80"/>
      <c r="Q4" s="62">
        <f>K4+300</f>
        <v>300</v>
      </c>
      <c r="R4" s="62"/>
      <c r="S4" s="62">
        <v>43859</v>
      </c>
    </row>
    <row r="5" spans="1:19" x14ac:dyDescent="0.3">
      <c r="A5" s="51">
        <v>50</v>
      </c>
      <c r="B5" s="103" t="s">
        <v>163</v>
      </c>
      <c r="C5" s="94"/>
      <c r="D5" s="94"/>
      <c r="E5" s="95">
        <v>42189</v>
      </c>
      <c r="F5" s="96"/>
      <c r="G5" s="96"/>
      <c r="H5" s="96"/>
      <c r="I5" s="97"/>
      <c r="J5" s="98"/>
      <c r="K5" s="99"/>
      <c r="L5" s="99"/>
      <c r="M5" s="99">
        <v>44002</v>
      </c>
      <c r="N5" s="82">
        <v>6.5</v>
      </c>
      <c r="O5" s="62">
        <f>(280-((N5*30)+59))+$N$1</f>
        <v>44088</v>
      </c>
      <c r="P5" s="80"/>
      <c r="Q5" s="62">
        <f>K5+300</f>
        <v>300</v>
      </c>
      <c r="R5" s="62"/>
      <c r="S5" s="62">
        <v>43868</v>
      </c>
    </row>
    <row r="6" spans="1:19" x14ac:dyDescent="0.3">
      <c r="A6" s="51">
        <v>1</v>
      </c>
      <c r="B6" s="52" t="s">
        <v>14</v>
      </c>
      <c r="C6" s="53" t="s">
        <v>13</v>
      </c>
      <c r="D6" s="53" t="s">
        <v>109</v>
      </c>
      <c r="E6" s="56">
        <v>39368</v>
      </c>
      <c r="F6" s="64">
        <v>5</v>
      </c>
      <c r="G6" s="64">
        <v>0</v>
      </c>
      <c r="H6" s="64"/>
      <c r="I6" s="63" t="e">
        <f t="shared" ref="I6:I15" si="0">H6/G6</f>
        <v>#DIV/0!</v>
      </c>
      <c r="J6" s="58">
        <v>326</v>
      </c>
      <c r="K6" s="55">
        <v>43664</v>
      </c>
      <c r="L6" s="55" t="s">
        <v>157</v>
      </c>
      <c r="M6" s="55">
        <v>44062</v>
      </c>
      <c r="N6" s="81">
        <v>8</v>
      </c>
      <c r="O6" s="62">
        <f t="shared" ref="O6:O15" si="1">(280-(N6*30))+$N$1</f>
        <v>44102</v>
      </c>
      <c r="Q6" s="62"/>
      <c r="R6" s="62"/>
      <c r="S6" s="62">
        <v>43884</v>
      </c>
    </row>
    <row r="7" spans="1:19" s="92" customFormat="1" x14ac:dyDescent="0.3">
      <c r="A7" s="51">
        <v>3</v>
      </c>
      <c r="B7" s="52" t="s">
        <v>88</v>
      </c>
      <c r="C7" s="53" t="s">
        <v>89</v>
      </c>
      <c r="D7" s="60" t="s">
        <v>105</v>
      </c>
      <c r="E7" s="56">
        <v>41072</v>
      </c>
      <c r="F7" s="64">
        <v>5</v>
      </c>
      <c r="G7" s="64">
        <v>259</v>
      </c>
      <c r="H7" s="64">
        <v>1546</v>
      </c>
      <c r="I7" s="63">
        <f t="shared" si="0"/>
        <v>5.9691119691119692</v>
      </c>
      <c r="J7" s="58">
        <v>668</v>
      </c>
      <c r="K7" s="55">
        <v>43783</v>
      </c>
      <c r="L7" s="55" t="s">
        <v>157</v>
      </c>
      <c r="M7" s="55">
        <v>44062</v>
      </c>
      <c r="N7" s="81">
        <v>8</v>
      </c>
      <c r="O7" s="62">
        <f t="shared" si="1"/>
        <v>44102</v>
      </c>
      <c r="P7"/>
      <c r="Q7" s="62">
        <f>K7+300</f>
        <v>44083</v>
      </c>
      <c r="R7" s="90"/>
      <c r="S7" s="62">
        <v>43924</v>
      </c>
    </row>
    <row r="8" spans="1:19" x14ac:dyDescent="0.3">
      <c r="A8" s="51">
        <v>6</v>
      </c>
      <c r="B8" s="52" t="s">
        <v>35</v>
      </c>
      <c r="C8" s="53" t="s">
        <v>36</v>
      </c>
      <c r="D8" s="53" t="s">
        <v>105</v>
      </c>
      <c r="E8" s="56">
        <v>41009</v>
      </c>
      <c r="F8" s="64">
        <v>5</v>
      </c>
      <c r="G8" s="64">
        <v>273</v>
      </c>
      <c r="H8" s="64">
        <v>1847</v>
      </c>
      <c r="I8" s="63">
        <f t="shared" si="0"/>
        <v>6.7655677655677655</v>
      </c>
      <c r="J8" s="58">
        <v>654</v>
      </c>
      <c r="K8" s="55">
        <v>43818</v>
      </c>
      <c r="L8" s="55" t="s">
        <v>157</v>
      </c>
      <c r="M8" s="55">
        <v>44062</v>
      </c>
      <c r="N8" s="81">
        <v>8</v>
      </c>
      <c r="O8" s="62">
        <f t="shared" si="1"/>
        <v>44102</v>
      </c>
      <c r="Q8" s="62"/>
      <c r="R8" s="62"/>
      <c r="S8" s="62">
        <v>43946</v>
      </c>
    </row>
    <row r="9" spans="1:19" x14ac:dyDescent="0.3">
      <c r="A9" s="51">
        <v>7</v>
      </c>
      <c r="B9" s="52" t="s">
        <v>41</v>
      </c>
      <c r="C9" s="53" t="s">
        <v>42</v>
      </c>
      <c r="D9" s="53" t="s">
        <v>105</v>
      </c>
      <c r="E9" s="56">
        <v>41496</v>
      </c>
      <c r="F9" s="64">
        <v>2</v>
      </c>
      <c r="G9" s="64">
        <v>288</v>
      </c>
      <c r="H9" s="64">
        <v>1600</v>
      </c>
      <c r="I9" s="63">
        <f t="shared" si="0"/>
        <v>5.5555555555555554</v>
      </c>
      <c r="J9" s="58">
        <v>666</v>
      </c>
      <c r="K9" s="55">
        <v>43807</v>
      </c>
      <c r="L9" s="55" t="s">
        <v>157</v>
      </c>
      <c r="M9" s="55">
        <v>44062</v>
      </c>
      <c r="N9" s="81">
        <v>8</v>
      </c>
      <c r="O9" s="62">
        <f t="shared" si="1"/>
        <v>44102</v>
      </c>
      <c r="P9" s="62"/>
      <c r="Q9" s="62">
        <f t="shared" ref="Q9:Q17" si="2">K9+300</f>
        <v>44107</v>
      </c>
      <c r="R9" s="62"/>
      <c r="S9" s="62">
        <v>43958</v>
      </c>
    </row>
    <row r="10" spans="1:19" x14ac:dyDescent="0.3">
      <c r="A10" s="51">
        <v>13</v>
      </c>
      <c r="B10" s="52" t="s">
        <v>3</v>
      </c>
      <c r="C10" s="53" t="s">
        <v>4</v>
      </c>
      <c r="D10" s="53" t="s">
        <v>105</v>
      </c>
      <c r="E10" s="56">
        <v>41524</v>
      </c>
      <c r="F10" s="64">
        <v>1</v>
      </c>
      <c r="G10" s="64">
        <v>238</v>
      </c>
      <c r="H10" s="64">
        <v>1294</v>
      </c>
      <c r="I10" s="63">
        <f t="shared" si="0"/>
        <v>5.4369747899159666</v>
      </c>
      <c r="J10" s="58">
        <v>1222</v>
      </c>
      <c r="K10" s="55">
        <v>42756</v>
      </c>
      <c r="L10" s="55" t="s">
        <v>157</v>
      </c>
      <c r="M10" s="55">
        <v>44062</v>
      </c>
      <c r="N10" s="81">
        <v>8</v>
      </c>
      <c r="O10" s="62">
        <f t="shared" si="1"/>
        <v>44102</v>
      </c>
      <c r="Q10" s="62">
        <f t="shared" si="2"/>
        <v>43056</v>
      </c>
      <c r="R10" s="62"/>
      <c r="S10" s="62">
        <v>43964</v>
      </c>
    </row>
    <row r="11" spans="1:19" x14ac:dyDescent="0.3">
      <c r="A11" s="51">
        <v>15</v>
      </c>
      <c r="B11" s="52" t="s">
        <v>79</v>
      </c>
      <c r="C11" s="53" t="s">
        <v>80</v>
      </c>
      <c r="D11" s="53" t="s">
        <v>105</v>
      </c>
      <c r="E11" s="56">
        <v>39290</v>
      </c>
      <c r="F11" s="64">
        <v>6</v>
      </c>
      <c r="G11" s="64">
        <v>283</v>
      </c>
      <c r="H11" s="64">
        <v>2022</v>
      </c>
      <c r="I11" s="63">
        <f t="shared" si="0"/>
        <v>7.1448763250883394</v>
      </c>
      <c r="J11" s="58">
        <v>558</v>
      </c>
      <c r="K11" s="55">
        <v>43624</v>
      </c>
      <c r="L11" s="55" t="s">
        <v>157</v>
      </c>
      <c r="M11" s="55">
        <v>44062</v>
      </c>
      <c r="N11" s="81">
        <v>8</v>
      </c>
      <c r="O11" s="62">
        <f t="shared" si="1"/>
        <v>44102</v>
      </c>
      <c r="Q11" s="62">
        <f t="shared" si="2"/>
        <v>43924</v>
      </c>
      <c r="R11" s="62"/>
      <c r="S11" s="90">
        <v>44083</v>
      </c>
    </row>
    <row r="12" spans="1:19" x14ac:dyDescent="0.3">
      <c r="A12" s="51">
        <v>26</v>
      </c>
      <c r="B12" s="52" t="s">
        <v>37</v>
      </c>
      <c r="C12" s="53" t="s">
        <v>38</v>
      </c>
      <c r="D12" s="53" t="s">
        <v>109</v>
      </c>
      <c r="E12" s="56">
        <v>41558</v>
      </c>
      <c r="F12" s="64">
        <v>3</v>
      </c>
      <c r="G12" s="64">
        <v>273</v>
      </c>
      <c r="H12" s="64">
        <v>2121</v>
      </c>
      <c r="I12" s="63">
        <f t="shared" si="0"/>
        <v>7.7692307692307692</v>
      </c>
      <c r="J12" s="58">
        <v>610</v>
      </c>
      <c r="K12" s="55">
        <v>43816</v>
      </c>
      <c r="L12" s="55" t="s">
        <v>157</v>
      </c>
      <c r="M12" s="55">
        <v>44062</v>
      </c>
      <c r="N12" s="81">
        <v>8</v>
      </c>
      <c r="O12" s="62">
        <f t="shared" si="1"/>
        <v>44102</v>
      </c>
      <c r="Q12" s="62">
        <f t="shared" si="2"/>
        <v>44116</v>
      </c>
      <c r="R12" s="62"/>
      <c r="S12" s="62">
        <v>44104</v>
      </c>
    </row>
    <row r="13" spans="1:19" x14ac:dyDescent="0.3">
      <c r="A13" s="51">
        <v>11</v>
      </c>
      <c r="B13" s="52" t="s">
        <v>43</v>
      </c>
      <c r="C13" s="53" t="s">
        <v>44</v>
      </c>
      <c r="D13" s="53" t="s">
        <v>109</v>
      </c>
      <c r="E13" s="56">
        <v>40863</v>
      </c>
      <c r="F13" s="64">
        <v>3</v>
      </c>
      <c r="G13" s="64">
        <v>242</v>
      </c>
      <c r="H13" s="64">
        <v>1740</v>
      </c>
      <c r="I13" s="63">
        <f t="shared" si="0"/>
        <v>7.1900826446280988</v>
      </c>
      <c r="J13" s="58">
        <v>973</v>
      </c>
      <c r="K13" s="55">
        <v>43847</v>
      </c>
      <c r="L13" s="55" t="s">
        <v>157</v>
      </c>
      <c r="M13" s="55">
        <v>44062</v>
      </c>
      <c r="N13" s="81">
        <v>7.5</v>
      </c>
      <c r="O13" s="62">
        <f t="shared" si="1"/>
        <v>44117</v>
      </c>
      <c r="Q13" s="62">
        <f t="shared" si="2"/>
        <v>44147</v>
      </c>
      <c r="R13" s="62"/>
      <c r="S13" s="62">
        <v>44105</v>
      </c>
    </row>
    <row r="14" spans="1:19" x14ac:dyDescent="0.3">
      <c r="A14" s="51">
        <v>10</v>
      </c>
      <c r="B14" s="52" t="s">
        <v>114</v>
      </c>
      <c r="C14" s="53" t="s">
        <v>115</v>
      </c>
      <c r="D14" s="53" t="s">
        <v>109</v>
      </c>
      <c r="E14" s="56">
        <v>41491</v>
      </c>
      <c r="F14" s="64">
        <v>3</v>
      </c>
      <c r="G14" s="64">
        <v>291</v>
      </c>
      <c r="H14" s="64">
        <v>2237</v>
      </c>
      <c r="I14" s="63">
        <f t="shared" si="0"/>
        <v>7.6872852233676978</v>
      </c>
      <c r="J14" s="58">
        <v>814</v>
      </c>
      <c r="K14" s="55">
        <v>43811</v>
      </c>
      <c r="L14" s="55" t="s">
        <v>157</v>
      </c>
      <c r="M14" s="55">
        <v>44062</v>
      </c>
      <c r="N14" s="81">
        <v>7</v>
      </c>
      <c r="O14" s="62">
        <f t="shared" si="1"/>
        <v>44132</v>
      </c>
      <c r="Q14" s="62">
        <f t="shared" si="2"/>
        <v>44111</v>
      </c>
      <c r="R14" s="62"/>
      <c r="S14" s="62">
        <v>44106</v>
      </c>
    </row>
    <row r="15" spans="1:19" x14ac:dyDescent="0.3">
      <c r="A15" s="51">
        <v>29</v>
      </c>
      <c r="B15" s="52" t="s">
        <v>15</v>
      </c>
      <c r="C15" s="53" t="s">
        <v>16</v>
      </c>
      <c r="D15" s="53" t="s">
        <v>109</v>
      </c>
      <c r="E15" s="56">
        <v>39670</v>
      </c>
      <c r="F15" s="64">
        <v>5</v>
      </c>
      <c r="G15" s="64">
        <v>273</v>
      </c>
      <c r="H15" s="64">
        <v>2316</v>
      </c>
      <c r="I15" s="63">
        <f t="shared" si="0"/>
        <v>8.4835164835164836</v>
      </c>
      <c r="J15" s="58">
        <v>522</v>
      </c>
      <c r="K15" s="55">
        <v>43821</v>
      </c>
      <c r="L15" s="55" t="s">
        <v>157</v>
      </c>
      <c r="M15" s="55">
        <v>44062</v>
      </c>
      <c r="N15" s="81">
        <v>7</v>
      </c>
      <c r="O15" s="62">
        <f t="shared" si="1"/>
        <v>44132</v>
      </c>
      <c r="Q15" s="62">
        <f t="shared" si="2"/>
        <v>44121</v>
      </c>
      <c r="R15" s="62"/>
      <c r="S15" s="62">
        <v>44107</v>
      </c>
    </row>
    <row r="16" spans="1:19" x14ac:dyDescent="0.3">
      <c r="A16" s="51">
        <v>51</v>
      </c>
      <c r="B16" s="104">
        <v>120004</v>
      </c>
      <c r="C16" s="94"/>
      <c r="D16" s="94"/>
      <c r="E16" s="95">
        <v>43170</v>
      </c>
      <c r="F16" s="96"/>
      <c r="G16" s="96"/>
      <c r="H16" s="96"/>
      <c r="I16" s="97"/>
      <c r="J16" s="98"/>
      <c r="K16" s="99"/>
      <c r="L16" s="99"/>
      <c r="M16" s="99">
        <v>44002</v>
      </c>
      <c r="N16" s="82">
        <v>5</v>
      </c>
      <c r="O16" s="62">
        <f>(280-((N16*30)+59))+$N$1</f>
        <v>44133</v>
      </c>
      <c r="P16" s="80"/>
      <c r="Q16" s="62">
        <f t="shared" si="2"/>
        <v>300</v>
      </c>
      <c r="R16" s="62"/>
      <c r="S16" s="62">
        <v>44107</v>
      </c>
    </row>
    <row r="17" spans="1:19" x14ac:dyDescent="0.3">
      <c r="A17" s="51">
        <v>5</v>
      </c>
      <c r="B17" s="52" t="s">
        <v>33</v>
      </c>
      <c r="C17" s="53" t="s">
        <v>34</v>
      </c>
      <c r="D17" s="53" t="s">
        <v>105</v>
      </c>
      <c r="E17" s="56">
        <v>39613</v>
      </c>
      <c r="F17" s="64">
        <v>6</v>
      </c>
      <c r="G17" s="64">
        <v>288</v>
      </c>
      <c r="H17" s="64">
        <v>1993</v>
      </c>
      <c r="I17" s="63">
        <f>H17/G17</f>
        <v>6.9201388888888893</v>
      </c>
      <c r="J17" s="58">
        <v>482</v>
      </c>
      <c r="K17" s="55">
        <v>43814</v>
      </c>
      <c r="L17" s="55" t="s">
        <v>157</v>
      </c>
      <c r="M17" s="55">
        <v>44062</v>
      </c>
      <c r="N17" s="81">
        <v>6.5</v>
      </c>
      <c r="O17" s="62">
        <f>(280-(N17*30))+$N$1</f>
        <v>44147</v>
      </c>
      <c r="Q17" s="62">
        <f t="shared" si="2"/>
        <v>44114</v>
      </c>
      <c r="R17" s="62"/>
      <c r="S17" s="62">
        <v>44109</v>
      </c>
    </row>
    <row r="18" spans="1:19" x14ac:dyDescent="0.3">
      <c r="A18" s="51">
        <v>4</v>
      </c>
      <c r="B18" s="52" t="s">
        <v>24</v>
      </c>
      <c r="C18" s="53" t="s">
        <v>25</v>
      </c>
      <c r="D18" s="53" t="s">
        <v>105</v>
      </c>
      <c r="E18" s="56">
        <v>41496</v>
      </c>
      <c r="F18" s="64">
        <v>2</v>
      </c>
      <c r="G18" s="64">
        <v>291</v>
      </c>
      <c r="H18" s="64">
        <v>1880</v>
      </c>
      <c r="I18" s="63">
        <f>H18/G18</f>
        <v>6.4604810996563575</v>
      </c>
      <c r="J18" s="58">
        <v>619</v>
      </c>
      <c r="K18" s="55">
        <v>43806</v>
      </c>
      <c r="L18" s="55" t="s">
        <v>157</v>
      </c>
      <c r="M18" s="55">
        <v>44062</v>
      </c>
      <c r="N18" s="81">
        <v>6</v>
      </c>
      <c r="O18" s="62">
        <f>(280-(N18*30))+$N$1</f>
        <v>44162</v>
      </c>
      <c r="Q18" s="62"/>
      <c r="R18" s="62"/>
      <c r="S18" s="62">
        <v>44110</v>
      </c>
    </row>
    <row r="19" spans="1:19" x14ac:dyDescent="0.3">
      <c r="A19" s="51">
        <v>9</v>
      </c>
      <c r="B19" s="52" t="s">
        <v>83</v>
      </c>
      <c r="C19" s="53" t="s">
        <v>84</v>
      </c>
      <c r="D19" s="53" t="s">
        <v>108</v>
      </c>
      <c r="E19" s="56">
        <v>41246</v>
      </c>
      <c r="F19" s="64">
        <v>2</v>
      </c>
      <c r="G19" s="64">
        <v>279</v>
      </c>
      <c r="H19" s="64">
        <v>2266</v>
      </c>
      <c r="I19" s="63">
        <f>H19/G19</f>
        <v>8.1218637992831546</v>
      </c>
      <c r="J19" s="58">
        <v>720</v>
      </c>
      <c r="K19" s="55">
        <v>43559</v>
      </c>
      <c r="L19" s="55" t="s">
        <v>157</v>
      </c>
      <c r="M19" s="55">
        <v>44062</v>
      </c>
      <c r="N19" s="81">
        <v>6</v>
      </c>
      <c r="O19" s="62">
        <f>(280-(N19*30))+$N$1</f>
        <v>44162</v>
      </c>
      <c r="Q19" s="62">
        <f t="shared" ref="Q19:Q37" si="3">K19+300</f>
        <v>43859</v>
      </c>
      <c r="R19" s="62"/>
      <c r="S19" s="62">
        <v>44111</v>
      </c>
    </row>
    <row r="20" spans="1:19" x14ac:dyDescent="0.3">
      <c r="A20" s="51">
        <v>18</v>
      </c>
      <c r="B20" s="83" t="s">
        <v>9</v>
      </c>
      <c r="C20" s="84" t="s">
        <v>10</v>
      </c>
      <c r="D20" s="84" t="s">
        <v>105</v>
      </c>
      <c r="E20" s="85">
        <v>38545</v>
      </c>
      <c r="F20" s="86">
        <v>7</v>
      </c>
      <c r="G20" s="86">
        <v>288</v>
      </c>
      <c r="H20" s="86">
        <v>2330</v>
      </c>
      <c r="I20" s="87">
        <f>H20/G20</f>
        <v>8.0902777777777786</v>
      </c>
      <c r="J20" s="88">
        <v>548</v>
      </c>
      <c r="K20" s="89">
        <v>43805</v>
      </c>
      <c r="L20" s="55" t="s">
        <v>157</v>
      </c>
      <c r="M20" s="55">
        <v>44062</v>
      </c>
      <c r="N20" s="81">
        <v>6</v>
      </c>
      <c r="O20" s="62">
        <f>(280-(N20*30))+$N$1</f>
        <v>44162</v>
      </c>
      <c r="Q20" s="62">
        <f t="shared" si="3"/>
        <v>44105</v>
      </c>
      <c r="R20" s="62"/>
      <c r="S20" s="62">
        <v>44111</v>
      </c>
    </row>
    <row r="21" spans="1:19" x14ac:dyDescent="0.3">
      <c r="A21" s="51">
        <v>33</v>
      </c>
      <c r="B21" s="52" t="s">
        <v>27</v>
      </c>
      <c r="C21" s="53" t="s">
        <v>28</v>
      </c>
      <c r="D21" s="53" t="s">
        <v>109</v>
      </c>
      <c r="E21" s="56">
        <v>41526</v>
      </c>
      <c r="F21" s="64">
        <v>2</v>
      </c>
      <c r="G21" s="64">
        <v>228</v>
      </c>
      <c r="H21" s="64">
        <v>1960</v>
      </c>
      <c r="I21" s="63">
        <f>H21/G21</f>
        <v>8.5964912280701746</v>
      </c>
      <c r="J21" s="58">
        <v>695</v>
      </c>
      <c r="K21" s="55">
        <v>43860</v>
      </c>
      <c r="L21" s="55" t="s">
        <v>157</v>
      </c>
      <c r="M21" s="55">
        <v>44062</v>
      </c>
      <c r="N21" s="81">
        <v>6</v>
      </c>
      <c r="O21" s="62">
        <f>(280-(N21*30))+$N$1</f>
        <v>44162</v>
      </c>
      <c r="Q21" s="62">
        <f t="shared" si="3"/>
        <v>44160</v>
      </c>
      <c r="R21" s="62"/>
      <c r="S21" s="62">
        <v>44112</v>
      </c>
    </row>
    <row r="22" spans="1:19" x14ac:dyDescent="0.3">
      <c r="A22" s="51">
        <v>52</v>
      </c>
      <c r="B22" s="103" t="s">
        <v>164</v>
      </c>
      <c r="C22" s="94"/>
      <c r="D22" s="94"/>
      <c r="E22" s="95">
        <v>43170</v>
      </c>
      <c r="F22" s="96"/>
      <c r="G22" s="96"/>
      <c r="H22" s="96"/>
      <c r="I22" s="97"/>
      <c r="J22" s="98"/>
      <c r="K22" s="99"/>
      <c r="L22" s="99"/>
      <c r="M22" s="99">
        <v>44002</v>
      </c>
      <c r="N22" s="82">
        <v>4</v>
      </c>
      <c r="O22" s="62">
        <f>(280-((N22*30)+59))+$N$1</f>
        <v>44163</v>
      </c>
      <c r="P22" s="80"/>
      <c r="Q22" s="62">
        <f t="shared" si="3"/>
        <v>300</v>
      </c>
      <c r="R22" s="62"/>
      <c r="S22" s="62">
        <v>44112</v>
      </c>
    </row>
    <row r="23" spans="1:19" x14ac:dyDescent="0.3">
      <c r="A23" s="51">
        <v>25</v>
      </c>
      <c r="B23" s="52" t="s">
        <v>29</v>
      </c>
      <c r="C23" s="53" t="s">
        <v>30</v>
      </c>
      <c r="D23" s="53" t="s">
        <v>109</v>
      </c>
      <c r="E23" s="56">
        <v>41249</v>
      </c>
      <c r="F23" s="64">
        <v>2</v>
      </c>
      <c r="G23" s="64">
        <v>273</v>
      </c>
      <c r="H23" s="64">
        <v>2095</v>
      </c>
      <c r="I23" s="63">
        <f t="shared" ref="I23:I44" si="4">H23/G23</f>
        <v>7.6739926739926743</v>
      </c>
      <c r="J23" s="58">
        <v>620</v>
      </c>
      <c r="K23" s="55">
        <v>43815</v>
      </c>
      <c r="L23" s="55" t="s">
        <v>157</v>
      </c>
      <c r="M23" s="55">
        <v>44062</v>
      </c>
      <c r="N23" s="81">
        <v>5.5</v>
      </c>
      <c r="O23" s="62">
        <f t="shared" ref="O23:O43" si="5">(280-(N23*30))+$N$1</f>
        <v>44177</v>
      </c>
      <c r="Q23" s="62">
        <f t="shared" si="3"/>
        <v>44115</v>
      </c>
      <c r="R23" s="62"/>
      <c r="S23" s="62">
        <v>44114</v>
      </c>
    </row>
    <row r="24" spans="1:19" x14ac:dyDescent="0.3">
      <c r="A24" s="51">
        <v>12</v>
      </c>
      <c r="B24" s="52" t="s">
        <v>77</v>
      </c>
      <c r="C24" s="53" t="s">
        <v>78</v>
      </c>
      <c r="D24" s="53" t="s">
        <v>109</v>
      </c>
      <c r="E24" s="56">
        <v>41007</v>
      </c>
      <c r="F24" s="64">
        <v>4</v>
      </c>
      <c r="G24" s="64">
        <v>313</v>
      </c>
      <c r="H24" s="64">
        <v>2034</v>
      </c>
      <c r="I24" s="63">
        <f t="shared" si="4"/>
        <v>6.4984025559105429</v>
      </c>
      <c r="J24" s="58">
        <v>447</v>
      </c>
      <c r="K24" s="55">
        <v>43646</v>
      </c>
      <c r="L24" s="55" t="s">
        <v>157</v>
      </c>
      <c r="M24" s="55">
        <v>44062</v>
      </c>
      <c r="N24" s="81">
        <v>5</v>
      </c>
      <c r="O24" s="62">
        <f t="shared" si="5"/>
        <v>44192</v>
      </c>
      <c r="Q24" s="62">
        <f t="shared" si="3"/>
        <v>43946</v>
      </c>
      <c r="R24" s="62"/>
      <c r="S24" s="62">
        <v>44115</v>
      </c>
    </row>
    <row r="25" spans="1:19" x14ac:dyDescent="0.3">
      <c r="A25" s="51">
        <v>19</v>
      </c>
      <c r="B25" s="52" t="s">
        <v>11</v>
      </c>
      <c r="C25" s="53" t="s">
        <v>12</v>
      </c>
      <c r="D25" s="53" t="s">
        <v>105</v>
      </c>
      <c r="E25" s="56">
        <v>39459</v>
      </c>
      <c r="F25" s="64">
        <v>5</v>
      </c>
      <c r="G25" s="64">
        <v>283</v>
      </c>
      <c r="H25" s="64">
        <v>1906</v>
      </c>
      <c r="I25" s="63">
        <f t="shared" si="4"/>
        <v>6.7349823321554769</v>
      </c>
      <c r="J25" s="58">
        <v>970</v>
      </c>
      <c r="K25" s="55">
        <v>43807</v>
      </c>
      <c r="L25" s="55" t="s">
        <v>157</v>
      </c>
      <c r="M25" s="55">
        <v>44062</v>
      </c>
      <c r="N25" s="81">
        <v>5</v>
      </c>
      <c r="O25" s="62">
        <f t="shared" si="5"/>
        <v>44192</v>
      </c>
      <c r="Q25" s="62">
        <f t="shared" si="3"/>
        <v>44107</v>
      </c>
      <c r="R25" s="62"/>
      <c r="S25" s="62">
        <v>44116</v>
      </c>
    </row>
    <row r="26" spans="1:19" x14ac:dyDescent="0.3">
      <c r="A26" s="51">
        <v>27</v>
      </c>
      <c r="B26" s="52" t="s">
        <v>31</v>
      </c>
      <c r="C26" s="53" t="s">
        <v>32</v>
      </c>
      <c r="D26" s="53" t="s">
        <v>109</v>
      </c>
      <c r="E26" s="56">
        <v>39094</v>
      </c>
      <c r="F26" s="64">
        <v>3</v>
      </c>
      <c r="G26" s="64">
        <v>273</v>
      </c>
      <c r="H26" s="64">
        <v>2356</v>
      </c>
      <c r="I26" s="63">
        <f t="shared" si="4"/>
        <v>8.6300366300366296</v>
      </c>
      <c r="J26" s="58">
        <v>783</v>
      </c>
      <c r="K26" s="55">
        <v>43818</v>
      </c>
      <c r="L26" s="55" t="s">
        <v>157</v>
      </c>
      <c r="M26" s="55">
        <v>44062</v>
      </c>
      <c r="N26" s="81">
        <v>5</v>
      </c>
      <c r="O26" s="62">
        <f t="shared" si="5"/>
        <v>44192</v>
      </c>
      <c r="Q26" s="62">
        <f t="shared" si="3"/>
        <v>44118</v>
      </c>
      <c r="R26" s="62"/>
      <c r="S26" s="62">
        <v>44116</v>
      </c>
    </row>
    <row r="27" spans="1:19" x14ac:dyDescent="0.3">
      <c r="A27" s="51">
        <v>32</v>
      </c>
      <c r="B27" s="52" t="s">
        <v>49</v>
      </c>
      <c r="C27" s="53" t="s">
        <v>50</v>
      </c>
      <c r="D27" s="53" t="s">
        <v>109</v>
      </c>
      <c r="E27" s="56">
        <v>37029</v>
      </c>
      <c r="F27" s="64">
        <v>3</v>
      </c>
      <c r="G27" s="64">
        <v>183</v>
      </c>
      <c r="H27" s="64">
        <v>1192</v>
      </c>
      <c r="I27" s="63">
        <f t="shared" si="4"/>
        <v>6.5136612021857925</v>
      </c>
      <c r="J27" s="58">
        <v>1172</v>
      </c>
      <c r="K27" s="55">
        <v>43898</v>
      </c>
      <c r="L27" s="55" t="s">
        <v>157</v>
      </c>
      <c r="M27" s="55">
        <v>44062</v>
      </c>
      <c r="N27" s="81">
        <v>5</v>
      </c>
      <c r="O27" s="62">
        <f t="shared" si="5"/>
        <v>44192</v>
      </c>
      <c r="Q27" s="62">
        <f t="shared" si="3"/>
        <v>44198</v>
      </c>
      <c r="R27" s="62"/>
      <c r="S27" s="62">
        <v>44118</v>
      </c>
    </row>
    <row r="28" spans="1:19" x14ac:dyDescent="0.3">
      <c r="A28" s="51">
        <v>2</v>
      </c>
      <c r="B28" s="52" t="s">
        <v>81</v>
      </c>
      <c r="C28" s="53" t="s">
        <v>82</v>
      </c>
      <c r="D28" s="53" t="s">
        <v>109</v>
      </c>
      <c r="E28" s="56">
        <v>40230</v>
      </c>
      <c r="F28" s="64">
        <v>4</v>
      </c>
      <c r="G28" s="64">
        <v>293</v>
      </c>
      <c r="H28" s="64">
        <v>2878</v>
      </c>
      <c r="I28" s="63">
        <f t="shared" si="4"/>
        <v>9.8225255972696246</v>
      </c>
      <c r="J28" s="58">
        <v>585</v>
      </c>
      <c r="K28" s="55">
        <v>43584</v>
      </c>
      <c r="L28" s="55" t="s">
        <v>157</v>
      </c>
      <c r="M28" s="55">
        <v>44062</v>
      </c>
      <c r="N28" s="81">
        <v>4</v>
      </c>
      <c r="O28" s="62">
        <f t="shared" si="5"/>
        <v>44222</v>
      </c>
      <c r="Q28" s="62">
        <f t="shared" si="3"/>
        <v>43884</v>
      </c>
      <c r="R28" s="62"/>
      <c r="S28" s="62">
        <v>44118</v>
      </c>
    </row>
    <row r="29" spans="1:19" x14ac:dyDescent="0.3">
      <c r="A29" s="51">
        <v>8</v>
      </c>
      <c r="B29" s="52" t="s">
        <v>55</v>
      </c>
      <c r="C29" s="53" t="s">
        <v>56</v>
      </c>
      <c r="D29" s="53" t="s">
        <v>109</v>
      </c>
      <c r="E29" s="56">
        <v>41106</v>
      </c>
      <c r="F29" s="64">
        <v>2</v>
      </c>
      <c r="G29" s="64">
        <v>286</v>
      </c>
      <c r="H29" s="64">
        <v>1822</v>
      </c>
      <c r="I29" s="63">
        <f t="shared" si="4"/>
        <v>6.3706293706293708</v>
      </c>
      <c r="J29" s="58">
        <v>703</v>
      </c>
      <c r="K29" s="55">
        <v>43834</v>
      </c>
      <c r="L29" s="55" t="s">
        <v>157</v>
      </c>
      <c r="M29" s="55">
        <v>44062</v>
      </c>
      <c r="N29" s="81">
        <v>4</v>
      </c>
      <c r="O29" s="62">
        <f t="shared" si="5"/>
        <v>44222</v>
      </c>
      <c r="Q29" s="62">
        <f t="shared" si="3"/>
        <v>44134</v>
      </c>
      <c r="R29" s="62"/>
      <c r="S29" s="62">
        <v>44119</v>
      </c>
    </row>
    <row r="30" spans="1:19" x14ac:dyDescent="0.3">
      <c r="A30" s="51">
        <v>17</v>
      </c>
      <c r="B30" s="52" t="s">
        <v>21</v>
      </c>
      <c r="C30" s="53" t="s">
        <v>22</v>
      </c>
      <c r="D30" s="53" t="s">
        <v>109</v>
      </c>
      <c r="E30" s="56">
        <v>41477</v>
      </c>
      <c r="F30" s="64">
        <v>2</v>
      </c>
      <c r="G30" s="64">
        <v>273</v>
      </c>
      <c r="H30" s="64">
        <v>2127</v>
      </c>
      <c r="I30" s="63">
        <f t="shared" si="4"/>
        <v>7.7912087912087911</v>
      </c>
      <c r="J30" s="58">
        <v>665</v>
      </c>
      <c r="K30" s="55">
        <v>43804</v>
      </c>
      <c r="L30" s="55" t="s">
        <v>157</v>
      </c>
      <c r="M30" s="55">
        <v>44062</v>
      </c>
      <c r="N30" s="81">
        <v>4</v>
      </c>
      <c r="O30" s="62">
        <f t="shared" si="5"/>
        <v>44222</v>
      </c>
      <c r="Q30" s="62">
        <f t="shared" si="3"/>
        <v>44104</v>
      </c>
      <c r="R30" s="62"/>
      <c r="S30" s="62">
        <v>44120</v>
      </c>
    </row>
    <row r="31" spans="1:19" x14ac:dyDescent="0.3">
      <c r="A31" s="51">
        <v>23</v>
      </c>
      <c r="B31" s="52" t="s">
        <v>112</v>
      </c>
      <c r="C31" s="53" t="s">
        <v>46</v>
      </c>
      <c r="D31" s="53" t="s">
        <v>113</v>
      </c>
      <c r="E31" s="56">
        <v>40676</v>
      </c>
      <c r="F31" s="64">
        <v>6</v>
      </c>
      <c r="G31" s="64">
        <v>272</v>
      </c>
      <c r="H31" s="64">
        <v>2335</v>
      </c>
      <c r="I31" s="63">
        <f t="shared" si="4"/>
        <v>8.5845588235294112</v>
      </c>
      <c r="J31" s="58">
        <v>646</v>
      </c>
      <c r="K31" s="55">
        <v>43812</v>
      </c>
      <c r="L31" s="55" t="s">
        <v>157</v>
      </c>
      <c r="M31" s="55">
        <v>44062</v>
      </c>
      <c r="N31" s="81">
        <v>4</v>
      </c>
      <c r="O31" s="62">
        <f t="shared" si="5"/>
        <v>44222</v>
      </c>
      <c r="Q31" s="62">
        <f t="shared" si="3"/>
        <v>44112</v>
      </c>
      <c r="R31" s="62"/>
      <c r="S31" s="62">
        <v>44121</v>
      </c>
    </row>
    <row r="32" spans="1:19" x14ac:dyDescent="0.3">
      <c r="A32" s="51">
        <v>35</v>
      </c>
      <c r="B32" s="52" t="s">
        <v>67</v>
      </c>
      <c r="C32" s="53" t="s">
        <v>68</v>
      </c>
      <c r="D32" s="53" t="s">
        <v>108</v>
      </c>
      <c r="E32" s="56">
        <v>40765</v>
      </c>
      <c r="F32" s="64">
        <v>6</v>
      </c>
      <c r="G32" s="64">
        <v>214</v>
      </c>
      <c r="H32" s="64">
        <v>1924</v>
      </c>
      <c r="I32" s="63">
        <f t="shared" si="4"/>
        <v>8.990654205607477</v>
      </c>
      <c r="J32" s="58">
        <v>373</v>
      </c>
      <c r="K32" s="55">
        <v>43866</v>
      </c>
      <c r="L32" s="55" t="s">
        <v>157</v>
      </c>
      <c r="M32" s="55">
        <v>44062</v>
      </c>
      <c r="N32" s="81">
        <v>4</v>
      </c>
      <c r="O32" s="62">
        <f t="shared" si="5"/>
        <v>44222</v>
      </c>
      <c r="Q32" s="62">
        <f t="shared" si="3"/>
        <v>44166</v>
      </c>
      <c r="R32" s="62"/>
      <c r="S32" s="62">
        <v>44134</v>
      </c>
    </row>
    <row r="33" spans="1:19" x14ac:dyDescent="0.3">
      <c r="A33" s="51">
        <v>16</v>
      </c>
      <c r="B33" s="52" t="s">
        <v>19</v>
      </c>
      <c r="C33" s="53" t="s">
        <v>20</v>
      </c>
      <c r="D33" s="53" t="s">
        <v>109</v>
      </c>
      <c r="E33" s="56">
        <v>41010</v>
      </c>
      <c r="F33" s="64">
        <v>3</v>
      </c>
      <c r="G33" s="64">
        <v>290</v>
      </c>
      <c r="H33" s="64">
        <v>2145</v>
      </c>
      <c r="I33" s="63">
        <f t="shared" si="4"/>
        <v>7.3965517241379306</v>
      </c>
      <c r="J33" s="58">
        <v>541</v>
      </c>
      <c r="K33" s="55">
        <v>43804</v>
      </c>
      <c r="L33" s="55" t="s">
        <v>157</v>
      </c>
      <c r="M33" s="55">
        <v>44062</v>
      </c>
      <c r="N33" s="81">
        <v>3.5</v>
      </c>
      <c r="O33" s="62">
        <f t="shared" si="5"/>
        <v>44237</v>
      </c>
      <c r="Q33" s="62">
        <f t="shared" si="3"/>
        <v>44104</v>
      </c>
      <c r="R33" s="62"/>
      <c r="S33" s="62">
        <v>44138</v>
      </c>
    </row>
    <row r="34" spans="1:19" x14ac:dyDescent="0.3">
      <c r="A34" s="51">
        <v>22</v>
      </c>
      <c r="B34" s="52" t="s">
        <v>63</v>
      </c>
      <c r="C34" s="53" t="s">
        <v>64</v>
      </c>
      <c r="D34" s="53" t="s">
        <v>109</v>
      </c>
      <c r="E34" s="56">
        <v>41183</v>
      </c>
      <c r="F34" s="64">
        <v>2</v>
      </c>
      <c r="G34" s="64">
        <v>272</v>
      </c>
      <c r="H34" s="64">
        <v>2363</v>
      </c>
      <c r="I34" s="63">
        <f t="shared" si="4"/>
        <v>8.6875</v>
      </c>
      <c r="J34" s="58">
        <v>633</v>
      </c>
      <c r="K34" s="55">
        <v>43811</v>
      </c>
      <c r="L34" s="55" t="s">
        <v>157</v>
      </c>
      <c r="M34" s="55">
        <v>44062</v>
      </c>
      <c r="N34" s="81">
        <v>3.5</v>
      </c>
      <c r="O34" s="62">
        <f t="shared" si="5"/>
        <v>44237</v>
      </c>
      <c r="Q34" s="62">
        <f t="shared" si="3"/>
        <v>44111</v>
      </c>
      <c r="R34" s="62"/>
      <c r="S34" s="62">
        <v>44147</v>
      </c>
    </row>
    <row r="35" spans="1:19" x14ac:dyDescent="0.3">
      <c r="A35" s="51">
        <v>34</v>
      </c>
      <c r="B35" s="52" t="s">
        <v>47</v>
      </c>
      <c r="C35" s="53" t="s">
        <v>48</v>
      </c>
      <c r="D35" s="53" t="s">
        <v>109</v>
      </c>
      <c r="E35" s="56">
        <v>41156</v>
      </c>
      <c r="F35" s="64">
        <v>2</v>
      </c>
      <c r="G35" s="64">
        <v>273</v>
      </c>
      <c r="H35" s="64">
        <v>2113</v>
      </c>
      <c r="I35" s="63">
        <f t="shared" si="4"/>
        <v>7.73992673992674</v>
      </c>
      <c r="J35" s="58">
        <v>660</v>
      </c>
      <c r="K35" s="55">
        <v>43820</v>
      </c>
      <c r="L35" s="55" t="s">
        <v>157</v>
      </c>
      <c r="M35" s="55">
        <v>44062</v>
      </c>
      <c r="N35" s="81">
        <v>3.5</v>
      </c>
      <c r="O35" s="62">
        <f t="shared" si="5"/>
        <v>44237</v>
      </c>
      <c r="Q35" s="62">
        <f t="shared" si="3"/>
        <v>44120</v>
      </c>
      <c r="R35" s="62"/>
      <c r="S35" s="62">
        <v>44154</v>
      </c>
    </row>
    <row r="36" spans="1:19" x14ac:dyDescent="0.3">
      <c r="A36" s="51">
        <v>20</v>
      </c>
      <c r="B36" s="52" t="s">
        <v>61</v>
      </c>
      <c r="C36" s="53" t="s">
        <v>62</v>
      </c>
      <c r="D36" s="53" t="s">
        <v>105</v>
      </c>
      <c r="E36" s="56">
        <v>40281</v>
      </c>
      <c r="F36" s="64">
        <v>6</v>
      </c>
      <c r="G36" s="64">
        <v>273</v>
      </c>
      <c r="H36" s="64">
        <v>2016</v>
      </c>
      <c r="I36" s="63">
        <f t="shared" si="4"/>
        <v>7.384615384615385</v>
      </c>
      <c r="J36" s="58">
        <v>530</v>
      </c>
      <c r="K36" s="55">
        <v>43809</v>
      </c>
      <c r="L36" s="55" t="s">
        <v>157</v>
      </c>
      <c r="M36" s="55">
        <v>44062</v>
      </c>
      <c r="N36" s="81">
        <v>3</v>
      </c>
      <c r="O36" s="62">
        <f t="shared" si="5"/>
        <v>44252</v>
      </c>
      <c r="Q36" s="62">
        <f t="shared" si="3"/>
        <v>44109</v>
      </c>
      <c r="R36" s="62"/>
      <c r="S36" s="62">
        <v>44155</v>
      </c>
    </row>
    <row r="37" spans="1:19" x14ac:dyDescent="0.3">
      <c r="A37" s="51">
        <v>24</v>
      </c>
      <c r="B37" s="52" t="s">
        <v>23</v>
      </c>
      <c r="C37" s="53" t="s">
        <v>26</v>
      </c>
      <c r="D37" s="53" t="s">
        <v>109</v>
      </c>
      <c r="E37" s="56">
        <v>41565</v>
      </c>
      <c r="F37" s="64">
        <v>2</v>
      </c>
      <c r="G37" s="64">
        <v>273</v>
      </c>
      <c r="H37" s="64">
        <v>2343</v>
      </c>
      <c r="I37" s="63">
        <f t="shared" si="4"/>
        <v>8.5824175824175821</v>
      </c>
      <c r="J37" s="58">
        <v>655</v>
      </c>
      <c r="K37" s="55">
        <v>43812</v>
      </c>
      <c r="L37" s="55" t="s">
        <v>157</v>
      </c>
      <c r="M37" s="55">
        <v>44062</v>
      </c>
      <c r="N37" s="81">
        <v>3</v>
      </c>
      <c r="O37" s="62">
        <f t="shared" si="5"/>
        <v>44252</v>
      </c>
      <c r="Q37" s="62">
        <f t="shared" si="3"/>
        <v>44112</v>
      </c>
      <c r="R37" s="62"/>
      <c r="S37" s="62">
        <v>44160</v>
      </c>
    </row>
    <row r="38" spans="1:19" x14ac:dyDescent="0.3">
      <c r="A38" s="51">
        <v>30</v>
      </c>
      <c r="B38" s="52" t="s">
        <v>71</v>
      </c>
      <c r="C38" s="53" t="s">
        <v>72</v>
      </c>
      <c r="D38" s="53" t="s">
        <v>109</v>
      </c>
      <c r="E38" s="56">
        <v>41464</v>
      </c>
      <c r="F38" s="64">
        <v>3</v>
      </c>
      <c r="G38" s="64">
        <v>214</v>
      </c>
      <c r="H38" s="64">
        <v>1755</v>
      </c>
      <c r="I38" s="63">
        <f t="shared" si="4"/>
        <v>8.2009345794392523</v>
      </c>
      <c r="J38" s="58">
        <v>586</v>
      </c>
      <c r="K38" s="55">
        <v>43871</v>
      </c>
      <c r="L38" s="55" t="s">
        <v>157</v>
      </c>
      <c r="M38" s="55">
        <v>44062</v>
      </c>
      <c r="N38" s="81">
        <v>3</v>
      </c>
      <c r="O38" s="62">
        <f t="shared" si="5"/>
        <v>44252</v>
      </c>
      <c r="Q38" s="62"/>
      <c r="R38" s="62"/>
      <c r="S38" s="62">
        <v>44166</v>
      </c>
    </row>
    <row r="39" spans="1:19" x14ac:dyDescent="0.3">
      <c r="A39" s="51">
        <v>28</v>
      </c>
      <c r="B39" s="52" t="s">
        <v>59</v>
      </c>
      <c r="C39" s="53" t="s">
        <v>60</v>
      </c>
      <c r="D39" s="53" t="s">
        <v>109</v>
      </c>
      <c r="E39" s="56">
        <v>41719</v>
      </c>
      <c r="F39" s="64">
        <v>2</v>
      </c>
      <c r="G39" s="64">
        <v>273</v>
      </c>
      <c r="H39" s="64">
        <v>2517</v>
      </c>
      <c r="I39" s="63">
        <f t="shared" si="4"/>
        <v>9.219780219780219</v>
      </c>
      <c r="J39" s="58">
        <v>617</v>
      </c>
      <c r="K39" s="55">
        <v>43819</v>
      </c>
      <c r="L39" s="55" t="s">
        <v>157</v>
      </c>
      <c r="M39" s="55">
        <v>44062</v>
      </c>
      <c r="N39" s="81">
        <v>2.5</v>
      </c>
      <c r="O39" s="62">
        <f t="shared" si="5"/>
        <v>44267</v>
      </c>
      <c r="Q39" s="62">
        <f>K39+300</f>
        <v>44119</v>
      </c>
      <c r="R39" s="62"/>
      <c r="S39" s="62">
        <v>44171</v>
      </c>
    </row>
    <row r="40" spans="1:19" x14ac:dyDescent="0.3">
      <c r="A40" s="51">
        <v>14</v>
      </c>
      <c r="B40" s="52" t="s">
        <v>75</v>
      </c>
      <c r="C40" s="53" t="s">
        <v>76</v>
      </c>
      <c r="D40" s="53" t="s">
        <v>109</v>
      </c>
      <c r="E40" s="56">
        <v>41092</v>
      </c>
      <c r="F40" s="64">
        <v>3</v>
      </c>
      <c r="G40" s="64">
        <v>288</v>
      </c>
      <c r="H40" s="64">
        <v>1720</v>
      </c>
      <c r="I40" s="63">
        <f t="shared" si="4"/>
        <v>5.9722222222222223</v>
      </c>
      <c r="J40" s="58">
        <v>387</v>
      </c>
      <c r="K40" s="55">
        <v>43658</v>
      </c>
      <c r="L40" s="55" t="s">
        <v>157</v>
      </c>
      <c r="M40" s="55">
        <v>44062</v>
      </c>
      <c r="N40" s="81">
        <v>2</v>
      </c>
      <c r="O40" s="62">
        <f t="shared" si="5"/>
        <v>44282</v>
      </c>
      <c r="Q40" s="62">
        <f>K40+300</f>
        <v>43958</v>
      </c>
      <c r="R40" s="62"/>
      <c r="S40" s="62">
        <v>44183</v>
      </c>
    </row>
    <row r="41" spans="1:19" x14ac:dyDescent="0.3">
      <c r="A41" s="51">
        <v>21</v>
      </c>
      <c r="B41" s="52" t="s">
        <v>57</v>
      </c>
      <c r="C41" s="53" t="s">
        <v>58</v>
      </c>
      <c r="D41" s="53" t="s">
        <v>109</v>
      </c>
      <c r="E41" s="56">
        <v>41247</v>
      </c>
      <c r="F41" s="64">
        <v>2</v>
      </c>
      <c r="G41" s="64">
        <v>272</v>
      </c>
      <c r="H41" s="64">
        <v>2286</v>
      </c>
      <c r="I41" s="63">
        <f t="shared" si="4"/>
        <v>8.4044117647058822</v>
      </c>
      <c r="J41" s="58">
        <v>632</v>
      </c>
      <c r="K41" s="55">
        <v>43810</v>
      </c>
      <c r="L41" s="55" t="s">
        <v>157</v>
      </c>
      <c r="M41" s="55">
        <v>44062</v>
      </c>
      <c r="N41" s="91">
        <v>1.5</v>
      </c>
      <c r="O41" s="90">
        <f t="shared" si="5"/>
        <v>44297</v>
      </c>
      <c r="P41" s="92"/>
      <c r="Q41" s="62">
        <f>K41+300</f>
        <v>44110</v>
      </c>
      <c r="R41" s="62"/>
      <c r="S41" s="62">
        <v>44184</v>
      </c>
    </row>
    <row r="42" spans="1:19" x14ac:dyDescent="0.3">
      <c r="A42" s="51">
        <v>36</v>
      </c>
      <c r="B42" s="52" t="s">
        <v>133</v>
      </c>
      <c r="C42" s="53"/>
      <c r="D42" s="53" t="s">
        <v>109</v>
      </c>
      <c r="E42" s="56">
        <v>41319</v>
      </c>
      <c r="F42" s="64">
        <v>1</v>
      </c>
      <c r="G42" s="64">
        <v>214</v>
      </c>
      <c r="H42" s="64">
        <v>1497</v>
      </c>
      <c r="I42" s="63">
        <f t="shared" si="4"/>
        <v>6.9953271028037385</v>
      </c>
      <c r="J42" s="58">
        <v>2929</v>
      </c>
      <c r="K42" s="55">
        <v>43884</v>
      </c>
      <c r="L42" s="55" t="s">
        <v>157</v>
      </c>
      <c r="M42" s="55">
        <v>44062</v>
      </c>
      <c r="N42" s="81">
        <v>1.5</v>
      </c>
      <c r="O42" s="62">
        <f t="shared" si="5"/>
        <v>44297</v>
      </c>
      <c r="Q42" s="62"/>
      <c r="R42" s="62"/>
      <c r="S42" s="62">
        <v>44198</v>
      </c>
    </row>
    <row r="43" spans="1:19" x14ac:dyDescent="0.3">
      <c r="A43" s="51">
        <v>31</v>
      </c>
      <c r="B43" s="52" t="s">
        <v>73</v>
      </c>
      <c r="C43" s="53" t="s">
        <v>74</v>
      </c>
      <c r="D43" s="53" t="s">
        <v>108</v>
      </c>
      <c r="E43" s="56">
        <v>41463</v>
      </c>
      <c r="F43" s="64">
        <v>2</v>
      </c>
      <c r="G43" s="64">
        <v>153</v>
      </c>
      <c r="H43" s="64">
        <v>1078</v>
      </c>
      <c r="I43" s="63">
        <f t="shared" si="4"/>
        <v>7.0457516339869279</v>
      </c>
      <c r="J43" s="58">
        <v>730</v>
      </c>
      <c r="K43" s="55">
        <v>43941</v>
      </c>
      <c r="L43" s="55" t="s">
        <v>157</v>
      </c>
      <c r="M43" s="55">
        <v>44062</v>
      </c>
      <c r="N43" s="81">
        <v>1</v>
      </c>
      <c r="O43" s="62">
        <f t="shared" si="5"/>
        <v>44312</v>
      </c>
      <c r="Q43" s="62">
        <f t="shared" ref="Q43:Q48" si="6">K43+300</f>
        <v>44241</v>
      </c>
      <c r="R43" s="62"/>
      <c r="S43" s="62">
        <v>44217</v>
      </c>
    </row>
    <row r="44" spans="1:19" x14ac:dyDescent="0.3">
      <c r="A44" s="51">
        <v>37</v>
      </c>
      <c r="B44" s="52" t="s">
        <v>69</v>
      </c>
      <c r="C44" s="53" t="s">
        <v>70</v>
      </c>
      <c r="D44" s="53" t="s">
        <v>105</v>
      </c>
      <c r="E44" s="56">
        <v>41554</v>
      </c>
      <c r="F44" s="64">
        <v>2</v>
      </c>
      <c r="G44" s="64">
        <v>202</v>
      </c>
      <c r="H44" s="64">
        <v>1500</v>
      </c>
      <c r="I44" s="63">
        <f t="shared" si="4"/>
        <v>7.4257425742574261</v>
      </c>
      <c r="J44" s="58">
        <v>421</v>
      </c>
      <c r="K44" s="55">
        <v>43990</v>
      </c>
      <c r="L44" s="55" t="s">
        <v>160</v>
      </c>
      <c r="M44" s="55">
        <v>44062</v>
      </c>
      <c r="N44" s="81"/>
      <c r="O44" s="62"/>
      <c r="Q44" s="62">
        <f t="shared" si="6"/>
        <v>44290</v>
      </c>
      <c r="R44" s="62"/>
      <c r="S44" s="62">
        <v>44241</v>
      </c>
    </row>
    <row r="45" spans="1:19" x14ac:dyDescent="0.3">
      <c r="A45" s="51">
        <v>38</v>
      </c>
      <c r="B45" s="52" t="s">
        <v>136</v>
      </c>
      <c r="C45" s="53"/>
      <c r="D45" s="53" t="s">
        <v>109</v>
      </c>
      <c r="E45" s="56">
        <v>41431</v>
      </c>
      <c r="F45" s="64"/>
      <c r="G45" s="64"/>
      <c r="H45" s="64"/>
      <c r="I45" s="63"/>
      <c r="J45" s="58"/>
      <c r="K45" s="55"/>
      <c r="L45" s="55" t="s">
        <v>160</v>
      </c>
      <c r="M45" s="55">
        <v>44062</v>
      </c>
      <c r="N45" s="81"/>
      <c r="O45" s="62"/>
      <c r="Q45" s="62">
        <f t="shared" si="6"/>
        <v>300</v>
      </c>
      <c r="R45" s="62"/>
      <c r="S45" s="62"/>
    </row>
    <row r="46" spans="1:19" x14ac:dyDescent="0.3">
      <c r="A46" s="51">
        <v>39</v>
      </c>
      <c r="B46" s="52" t="s">
        <v>132</v>
      </c>
      <c r="C46" s="53"/>
      <c r="D46" s="53" t="s">
        <v>109</v>
      </c>
      <c r="E46" s="56">
        <v>41287</v>
      </c>
      <c r="F46" s="64"/>
      <c r="G46" s="64"/>
      <c r="H46" s="64"/>
      <c r="I46" s="63"/>
      <c r="J46" s="58"/>
      <c r="K46" s="55"/>
      <c r="L46" s="55" t="s">
        <v>160</v>
      </c>
      <c r="M46" s="55">
        <v>44062</v>
      </c>
      <c r="N46" s="81"/>
      <c r="O46" s="62"/>
      <c r="Q46" s="62">
        <f t="shared" si="6"/>
        <v>300</v>
      </c>
      <c r="R46" s="62"/>
      <c r="S46" s="62"/>
    </row>
    <row r="47" spans="1:19" x14ac:dyDescent="0.3">
      <c r="A47" s="51">
        <v>40</v>
      </c>
      <c r="B47" s="101" t="s">
        <v>5</v>
      </c>
      <c r="C47" s="84" t="s">
        <v>6</v>
      </c>
      <c r="D47" s="84" t="s">
        <v>109</v>
      </c>
      <c r="E47" s="85">
        <v>38393</v>
      </c>
      <c r="F47" s="86">
        <v>6</v>
      </c>
      <c r="G47" s="86">
        <v>259</v>
      </c>
      <c r="H47" s="86">
        <v>1385</v>
      </c>
      <c r="I47" s="87">
        <f t="shared" ref="I47:I54" si="7">H47/G47</f>
        <v>5.3474903474903472</v>
      </c>
      <c r="J47" s="88">
        <v>952</v>
      </c>
      <c r="K47" s="89">
        <v>43836</v>
      </c>
      <c r="L47" s="89" t="s">
        <v>160</v>
      </c>
      <c r="M47" s="55">
        <v>44062</v>
      </c>
      <c r="N47" s="81"/>
      <c r="O47" s="62"/>
      <c r="Q47" s="62">
        <f t="shared" si="6"/>
        <v>44136</v>
      </c>
      <c r="R47" s="62"/>
      <c r="S47" s="62"/>
    </row>
    <row r="48" spans="1:19" x14ac:dyDescent="0.3">
      <c r="A48" s="51">
        <v>41</v>
      </c>
      <c r="B48" s="52" t="s">
        <v>51</v>
      </c>
      <c r="C48" s="53" t="s">
        <v>107</v>
      </c>
      <c r="D48" s="53" t="s">
        <v>108</v>
      </c>
      <c r="E48" s="56">
        <v>39464</v>
      </c>
      <c r="F48" s="64">
        <v>6</v>
      </c>
      <c r="G48" s="64">
        <v>262</v>
      </c>
      <c r="H48" s="64">
        <v>1825</v>
      </c>
      <c r="I48" s="63">
        <f t="shared" si="7"/>
        <v>6.9656488549618318</v>
      </c>
      <c r="J48" s="58">
        <v>535</v>
      </c>
      <c r="K48" s="55">
        <v>43838</v>
      </c>
      <c r="L48" s="55" t="s">
        <v>160</v>
      </c>
      <c r="M48" s="55">
        <v>44062</v>
      </c>
      <c r="N48" s="81"/>
      <c r="O48" s="62"/>
      <c r="Q48" s="62">
        <f t="shared" si="6"/>
        <v>44138</v>
      </c>
      <c r="R48" s="62"/>
      <c r="S48" s="62"/>
    </row>
    <row r="49" spans="1:19" x14ac:dyDescent="0.3">
      <c r="A49" s="51">
        <v>42</v>
      </c>
      <c r="B49" s="52" t="s">
        <v>65</v>
      </c>
      <c r="C49" s="53" t="s">
        <v>66</v>
      </c>
      <c r="D49" s="53" t="s">
        <v>105</v>
      </c>
      <c r="E49" s="56">
        <v>39323</v>
      </c>
      <c r="F49" s="64">
        <v>7</v>
      </c>
      <c r="G49" s="64">
        <v>153</v>
      </c>
      <c r="H49" s="64">
        <v>300</v>
      </c>
      <c r="I49" s="63">
        <f t="shared" si="7"/>
        <v>1.9607843137254901</v>
      </c>
      <c r="J49" s="58">
        <v>373</v>
      </c>
      <c r="K49" s="55">
        <v>43943</v>
      </c>
      <c r="L49" s="55" t="s">
        <v>160</v>
      </c>
      <c r="M49" s="55">
        <v>44062</v>
      </c>
      <c r="N49" s="81"/>
      <c r="O49" s="62"/>
      <c r="Q49" s="62"/>
      <c r="R49" s="62"/>
      <c r="S49" s="62"/>
    </row>
    <row r="50" spans="1:19" x14ac:dyDescent="0.3">
      <c r="A50" s="51">
        <v>43</v>
      </c>
      <c r="B50" s="52" t="s">
        <v>134</v>
      </c>
      <c r="C50" s="53"/>
      <c r="D50" s="53" t="s">
        <v>109</v>
      </c>
      <c r="E50" s="56">
        <v>41436</v>
      </c>
      <c r="F50" s="64">
        <v>1</v>
      </c>
      <c r="G50" s="64">
        <v>239</v>
      </c>
      <c r="H50" s="64">
        <v>1127</v>
      </c>
      <c r="I50" s="63">
        <f t="shared" si="7"/>
        <v>4.7154811715481175</v>
      </c>
      <c r="J50" s="58">
        <v>2385</v>
      </c>
      <c r="K50" s="55">
        <v>43855</v>
      </c>
      <c r="L50" s="55" t="s">
        <v>160</v>
      </c>
      <c r="M50" s="55">
        <v>44062</v>
      </c>
      <c r="N50" s="81"/>
      <c r="O50" s="62"/>
      <c r="Q50" s="62"/>
      <c r="R50" s="62"/>
      <c r="S50" s="62"/>
    </row>
    <row r="51" spans="1:19" x14ac:dyDescent="0.3">
      <c r="A51" s="51">
        <v>44</v>
      </c>
      <c r="B51" s="106" t="s">
        <v>138</v>
      </c>
      <c r="C51" s="53"/>
      <c r="D51" s="53" t="s">
        <v>109</v>
      </c>
      <c r="E51" s="56">
        <v>41556</v>
      </c>
      <c r="F51" s="64">
        <v>1</v>
      </c>
      <c r="G51" s="64">
        <v>173</v>
      </c>
      <c r="H51" s="64">
        <v>1338</v>
      </c>
      <c r="I51" s="63">
        <f t="shared" si="7"/>
        <v>7.7341040462427744</v>
      </c>
      <c r="J51" s="58">
        <v>2360</v>
      </c>
      <c r="K51" s="55">
        <v>43917</v>
      </c>
      <c r="L51" s="55" t="s">
        <v>160</v>
      </c>
      <c r="M51" s="55">
        <v>44062</v>
      </c>
      <c r="N51" s="81"/>
      <c r="O51" s="62"/>
      <c r="Q51" s="62"/>
      <c r="R51" s="62"/>
      <c r="S51" s="62"/>
    </row>
    <row r="52" spans="1:19" x14ac:dyDescent="0.3">
      <c r="A52" s="51">
        <v>45</v>
      </c>
      <c r="B52" s="51">
        <v>14012</v>
      </c>
      <c r="C52" s="100" t="s">
        <v>161</v>
      </c>
      <c r="D52" s="53" t="s">
        <v>109</v>
      </c>
      <c r="E52" s="56">
        <v>41761</v>
      </c>
      <c r="F52" s="64">
        <v>1</v>
      </c>
      <c r="G52" s="86">
        <v>153</v>
      </c>
      <c r="H52" s="102">
        <v>1604</v>
      </c>
      <c r="I52" s="63">
        <f t="shared" si="7"/>
        <v>10.483660130718954</v>
      </c>
      <c r="J52" s="59">
        <v>2101</v>
      </c>
      <c r="K52" s="55">
        <v>43883</v>
      </c>
      <c r="L52" s="55" t="s">
        <v>160</v>
      </c>
      <c r="M52" s="55">
        <v>44062</v>
      </c>
      <c r="N52" s="81"/>
      <c r="O52" s="62"/>
      <c r="Q52" s="62"/>
      <c r="R52" s="62"/>
      <c r="S52" s="62"/>
    </row>
    <row r="53" spans="1:19" x14ac:dyDescent="0.3">
      <c r="A53" s="51">
        <v>46</v>
      </c>
      <c r="B53" s="105" t="s">
        <v>7</v>
      </c>
      <c r="C53" s="73" t="s">
        <v>8</v>
      </c>
      <c r="D53" s="73" t="s">
        <v>109</v>
      </c>
      <c r="E53" s="74">
        <v>39367</v>
      </c>
      <c r="F53" s="75">
        <v>6</v>
      </c>
      <c r="G53" s="75">
        <v>243</v>
      </c>
      <c r="H53" s="75">
        <v>1103</v>
      </c>
      <c r="I53" s="76">
        <f t="shared" si="7"/>
        <v>4.5390946502057616</v>
      </c>
      <c r="J53" s="77">
        <v>897</v>
      </c>
      <c r="K53" s="78">
        <v>43816</v>
      </c>
      <c r="L53" s="78" t="s">
        <v>111</v>
      </c>
      <c r="M53" s="55">
        <v>44062</v>
      </c>
      <c r="N53" s="81"/>
      <c r="O53" s="62"/>
      <c r="Q53" s="62"/>
      <c r="R53" s="62"/>
      <c r="S53" s="62"/>
    </row>
    <row r="54" spans="1:19" x14ac:dyDescent="0.3">
      <c r="A54" s="51">
        <v>47</v>
      </c>
      <c r="B54" s="72" t="s">
        <v>91</v>
      </c>
      <c r="C54" s="73" t="s">
        <v>92</v>
      </c>
      <c r="D54" s="73" t="s">
        <v>109</v>
      </c>
      <c r="E54" s="74">
        <v>39623</v>
      </c>
      <c r="F54" s="75">
        <v>7</v>
      </c>
      <c r="G54" s="75">
        <v>328</v>
      </c>
      <c r="H54" s="75">
        <v>1804</v>
      </c>
      <c r="I54" s="76">
        <f t="shared" si="7"/>
        <v>5.5</v>
      </c>
      <c r="J54" s="77">
        <v>459</v>
      </c>
      <c r="K54" s="78">
        <v>43797</v>
      </c>
      <c r="L54" s="78" t="s">
        <v>111</v>
      </c>
      <c r="M54" s="55">
        <v>44062</v>
      </c>
      <c r="N54" s="82"/>
      <c r="O54" s="62"/>
      <c r="P54" s="80"/>
      <c r="Q54" s="62"/>
      <c r="R54" s="62"/>
      <c r="S54" s="62"/>
    </row>
    <row r="55" spans="1:19" x14ac:dyDescent="0.3">
      <c r="A55" s="51">
        <v>50</v>
      </c>
      <c r="B55" s="52" t="s">
        <v>135</v>
      </c>
      <c r="C55" s="53"/>
      <c r="D55" s="53" t="s">
        <v>109</v>
      </c>
      <c r="E55" s="56">
        <v>41455</v>
      </c>
      <c r="F55" s="64"/>
      <c r="G55" s="64"/>
      <c r="H55" s="64"/>
      <c r="I55" s="63"/>
      <c r="J55" s="58"/>
      <c r="K55" s="55"/>
      <c r="L55" s="55"/>
      <c r="M55" s="55"/>
      <c r="N55" s="81"/>
      <c r="O55" s="62"/>
      <c r="Q55" s="62"/>
      <c r="R55" s="62"/>
      <c r="S55" s="62"/>
    </row>
    <row r="56" spans="1:19" x14ac:dyDescent="0.3">
      <c r="A56" s="51">
        <v>51</v>
      </c>
      <c r="B56" s="52" t="s">
        <v>137</v>
      </c>
      <c r="C56" s="53"/>
      <c r="D56" s="53" t="s">
        <v>109</v>
      </c>
      <c r="E56" s="56">
        <v>41492</v>
      </c>
      <c r="F56" s="64"/>
      <c r="G56" s="64"/>
      <c r="H56" s="64"/>
      <c r="I56" s="63"/>
      <c r="J56" s="58"/>
      <c r="K56" s="55"/>
      <c r="L56" s="55"/>
      <c r="M56" s="55"/>
      <c r="N56" s="81"/>
      <c r="O56" s="62"/>
      <c r="Q56" s="62"/>
      <c r="R56" s="62"/>
      <c r="S56" s="62"/>
    </row>
    <row r="57" spans="1:19" x14ac:dyDescent="0.3">
      <c r="A57" s="51">
        <v>52</v>
      </c>
      <c r="B57" s="52" t="s">
        <v>139</v>
      </c>
      <c r="C57" s="53"/>
      <c r="D57" s="53" t="s">
        <v>109</v>
      </c>
      <c r="E57" s="56">
        <v>41596</v>
      </c>
      <c r="F57" s="64"/>
      <c r="G57" s="64"/>
      <c r="H57" s="64"/>
      <c r="I57" s="63"/>
      <c r="J57" s="58"/>
      <c r="K57" s="55"/>
      <c r="L57" s="55"/>
      <c r="M57" s="55"/>
      <c r="N57" s="81"/>
      <c r="O57" s="62"/>
      <c r="R57" s="62"/>
      <c r="S57" s="62"/>
    </row>
    <row r="58" spans="1:19" x14ac:dyDescent="0.3">
      <c r="A58" s="51">
        <v>53</v>
      </c>
      <c r="B58" s="52" t="s">
        <v>140</v>
      </c>
      <c r="C58" s="53"/>
      <c r="D58" s="53" t="s">
        <v>109</v>
      </c>
      <c r="E58" s="56">
        <v>41600</v>
      </c>
      <c r="F58" s="64"/>
      <c r="G58" s="64"/>
      <c r="H58" s="64"/>
      <c r="I58" s="63"/>
      <c r="J58" s="58"/>
      <c r="K58" s="55"/>
      <c r="L58" s="55"/>
      <c r="M58" s="55"/>
      <c r="N58" s="81"/>
      <c r="O58" s="62"/>
      <c r="S58" s="62"/>
    </row>
    <row r="59" spans="1:19" x14ac:dyDescent="0.3">
      <c r="A59" s="51">
        <v>54</v>
      </c>
      <c r="B59" s="51">
        <v>552</v>
      </c>
      <c r="C59" s="50"/>
      <c r="D59" s="53" t="s">
        <v>109</v>
      </c>
      <c r="E59" s="56">
        <v>41604</v>
      </c>
      <c r="F59" s="50"/>
      <c r="G59" s="50"/>
      <c r="H59" s="50"/>
      <c r="I59" s="50"/>
      <c r="J59" s="59"/>
      <c r="K59" s="55"/>
      <c r="L59" s="55"/>
      <c r="M59" s="55"/>
      <c r="N59" s="81"/>
      <c r="O59" s="62"/>
      <c r="S59" s="62"/>
    </row>
    <row r="60" spans="1:19" x14ac:dyDescent="0.3">
      <c r="A60" s="51">
        <v>55</v>
      </c>
      <c r="B60" s="51">
        <v>14003</v>
      </c>
      <c r="C60" s="50"/>
      <c r="D60" s="53" t="s">
        <v>109</v>
      </c>
      <c r="E60" s="56">
        <v>41655</v>
      </c>
      <c r="F60" s="50"/>
      <c r="G60" s="50"/>
      <c r="H60" s="50"/>
      <c r="I60" s="50"/>
      <c r="J60" s="59"/>
      <c r="K60" s="55"/>
      <c r="L60" s="55"/>
      <c r="M60" s="55"/>
      <c r="N60" s="81"/>
      <c r="O60" s="62"/>
      <c r="Q60" s="62"/>
      <c r="S60" s="62"/>
    </row>
    <row r="61" spans="1:19" x14ac:dyDescent="0.3">
      <c r="A61" s="51">
        <v>56</v>
      </c>
      <c r="B61" s="51">
        <v>14006</v>
      </c>
      <c r="C61" s="50"/>
      <c r="D61" s="53" t="s">
        <v>109</v>
      </c>
      <c r="E61" s="56">
        <v>41728</v>
      </c>
      <c r="F61" s="50"/>
      <c r="G61" s="50"/>
      <c r="H61" s="50"/>
      <c r="I61" s="50"/>
      <c r="J61" s="59"/>
      <c r="K61" s="55"/>
      <c r="L61" s="55"/>
      <c r="M61" s="55"/>
      <c r="N61" s="81"/>
      <c r="O61" s="62"/>
      <c r="R61" s="62"/>
      <c r="S61" s="62"/>
    </row>
    <row r="62" spans="1:19" x14ac:dyDescent="0.3">
      <c r="A62" s="51">
        <v>57</v>
      </c>
      <c r="B62" s="51">
        <v>140018</v>
      </c>
      <c r="C62" s="50"/>
      <c r="D62" s="53" t="s">
        <v>109</v>
      </c>
      <c r="E62" s="56">
        <v>41748</v>
      </c>
      <c r="F62" s="50"/>
      <c r="G62" s="50"/>
      <c r="H62" s="50"/>
      <c r="I62" s="50"/>
      <c r="J62" s="59"/>
      <c r="K62" s="55"/>
      <c r="L62" s="55"/>
      <c r="M62" s="55"/>
      <c r="N62" s="81"/>
      <c r="O62" s="62"/>
      <c r="S62" s="62"/>
    </row>
    <row r="63" spans="1:19" x14ac:dyDescent="0.3">
      <c r="A63" s="51">
        <v>58</v>
      </c>
      <c r="B63" s="51">
        <v>14009</v>
      </c>
      <c r="C63" s="50"/>
      <c r="D63" s="53" t="s">
        <v>109</v>
      </c>
      <c r="E63" s="56">
        <v>41752</v>
      </c>
      <c r="F63" s="50"/>
      <c r="G63" s="50"/>
      <c r="H63" s="50"/>
      <c r="I63" s="50"/>
      <c r="J63" s="59"/>
      <c r="K63" s="55"/>
      <c r="L63" s="55"/>
      <c r="M63" s="55"/>
      <c r="N63" s="81"/>
      <c r="O63" s="62"/>
      <c r="S63" s="62"/>
    </row>
    <row r="64" spans="1:19" x14ac:dyDescent="0.3">
      <c r="A64" s="51">
        <v>59</v>
      </c>
      <c r="B64" s="51">
        <v>14011</v>
      </c>
      <c r="C64" s="50"/>
      <c r="D64" s="53" t="s">
        <v>109</v>
      </c>
      <c r="E64" s="56">
        <v>41760</v>
      </c>
      <c r="F64" s="50"/>
      <c r="G64" s="50"/>
      <c r="H64" s="50"/>
      <c r="I64" s="50"/>
      <c r="J64" s="59"/>
      <c r="K64" s="55"/>
      <c r="L64" s="55"/>
      <c r="M64" s="55"/>
      <c r="N64" s="81"/>
      <c r="O64" s="62"/>
      <c r="S64" s="62"/>
    </row>
    <row r="65" spans="1:19" x14ac:dyDescent="0.3">
      <c r="A65" s="51">
        <v>60</v>
      </c>
      <c r="B65" s="51">
        <v>14018</v>
      </c>
      <c r="C65" s="50"/>
      <c r="D65" s="53" t="s">
        <v>109</v>
      </c>
      <c r="E65" s="56">
        <v>41772</v>
      </c>
      <c r="F65" s="50"/>
      <c r="G65" s="50"/>
      <c r="H65" s="50"/>
      <c r="I65" s="50"/>
      <c r="J65" s="59"/>
      <c r="K65" s="55"/>
      <c r="L65" s="55"/>
      <c r="M65" s="55"/>
      <c r="N65" s="81"/>
      <c r="O65" s="62"/>
      <c r="S65" s="62"/>
    </row>
    <row r="66" spans="1:19" x14ac:dyDescent="0.3">
      <c r="A66" s="51">
        <v>61</v>
      </c>
      <c r="B66" s="51">
        <v>1789</v>
      </c>
      <c r="C66" s="50"/>
      <c r="D66" s="53" t="s">
        <v>109</v>
      </c>
      <c r="E66" s="56">
        <v>41961</v>
      </c>
      <c r="F66" s="50"/>
      <c r="G66" s="50"/>
      <c r="H66" s="50"/>
      <c r="I66" s="50"/>
      <c r="J66" s="59"/>
      <c r="K66" s="55"/>
      <c r="L66" s="55"/>
      <c r="M66" s="55"/>
      <c r="N66" s="81"/>
      <c r="O66" s="62"/>
      <c r="S66" s="62"/>
    </row>
    <row r="67" spans="1:19" x14ac:dyDescent="0.3">
      <c r="A67" s="51">
        <v>62</v>
      </c>
      <c r="B67" s="51">
        <v>1866</v>
      </c>
      <c r="C67" s="50"/>
      <c r="D67" s="53" t="s">
        <v>109</v>
      </c>
      <c r="E67" s="56">
        <v>41971</v>
      </c>
      <c r="F67" s="50"/>
      <c r="G67" s="50"/>
      <c r="H67" s="50"/>
      <c r="I67" s="50"/>
      <c r="J67" s="59"/>
      <c r="K67" s="55"/>
      <c r="L67" s="55"/>
      <c r="M67" s="55"/>
      <c r="N67" s="81"/>
      <c r="O67" s="62"/>
      <c r="S67" s="62"/>
    </row>
    <row r="68" spans="1:19" x14ac:dyDescent="0.3">
      <c r="A68" s="51">
        <v>63</v>
      </c>
      <c r="B68" s="51">
        <v>1883</v>
      </c>
      <c r="C68" s="50"/>
      <c r="D68" s="53" t="s">
        <v>109</v>
      </c>
      <c r="E68" s="56">
        <v>42020</v>
      </c>
      <c r="F68" s="50"/>
      <c r="G68" s="50"/>
      <c r="H68" s="50"/>
      <c r="I68" s="50"/>
      <c r="J68" s="59"/>
      <c r="K68" s="55"/>
      <c r="L68" s="55"/>
      <c r="M68" s="55"/>
      <c r="N68" s="81"/>
      <c r="O68" s="62"/>
    </row>
    <row r="69" spans="1:19" x14ac:dyDescent="0.3">
      <c r="A69" s="51">
        <v>64</v>
      </c>
      <c r="B69" s="51">
        <v>1067</v>
      </c>
      <c r="C69" s="50"/>
      <c r="D69" s="53" t="s">
        <v>109</v>
      </c>
      <c r="E69" s="56">
        <v>42160</v>
      </c>
      <c r="F69" s="50"/>
      <c r="G69" s="50"/>
      <c r="H69" s="50"/>
      <c r="I69" s="50"/>
      <c r="J69" s="59"/>
      <c r="K69" s="55"/>
      <c r="L69" s="55"/>
      <c r="M69" s="55"/>
      <c r="N69" s="81"/>
      <c r="O69" s="62"/>
    </row>
    <row r="70" spans="1:19" x14ac:dyDescent="0.3">
      <c r="A70" s="51">
        <v>65</v>
      </c>
      <c r="B70" s="51">
        <v>7040018</v>
      </c>
      <c r="C70" s="50"/>
      <c r="D70" s="53" t="s">
        <v>109</v>
      </c>
      <c r="E70" s="56">
        <v>42136</v>
      </c>
      <c r="F70" s="50"/>
      <c r="G70" s="50"/>
      <c r="H70" s="50"/>
      <c r="I70" s="50"/>
      <c r="J70" s="59"/>
      <c r="K70" s="55"/>
      <c r="L70" s="55"/>
      <c r="M70" s="55"/>
      <c r="N70" s="81"/>
      <c r="O70" s="62"/>
    </row>
    <row r="71" spans="1:19" x14ac:dyDescent="0.3">
      <c r="A71" s="51">
        <v>66</v>
      </c>
      <c r="B71" s="51">
        <v>7040026</v>
      </c>
      <c r="C71" s="50"/>
      <c r="D71" s="53" t="s">
        <v>109</v>
      </c>
      <c r="E71" s="56">
        <v>42226</v>
      </c>
      <c r="F71" s="50"/>
      <c r="G71" s="50"/>
      <c r="H71" s="50"/>
      <c r="I71" s="50"/>
      <c r="J71" s="59"/>
      <c r="K71" s="55"/>
      <c r="L71" s="55"/>
      <c r="M71" s="55"/>
      <c r="N71" s="81"/>
      <c r="O71" s="62"/>
    </row>
    <row r="72" spans="1:19" x14ac:dyDescent="0.3">
      <c r="A72" s="51"/>
      <c r="B72" s="51"/>
      <c r="C72" s="50"/>
      <c r="D72" s="53"/>
      <c r="E72" s="56"/>
      <c r="F72" s="50"/>
      <c r="G72" s="50"/>
      <c r="H72" s="50"/>
      <c r="I72" s="50"/>
      <c r="J72" s="59"/>
      <c r="K72" s="55"/>
      <c r="L72" s="55"/>
      <c r="M72" s="55"/>
      <c r="N72" s="81"/>
      <c r="O72" s="62"/>
    </row>
    <row r="73" spans="1:19" x14ac:dyDescent="0.3">
      <c r="A73" s="51">
        <v>68</v>
      </c>
      <c r="B73" s="51">
        <v>777</v>
      </c>
      <c r="C73" s="50"/>
      <c r="D73" s="53" t="s">
        <v>109</v>
      </c>
      <c r="E73" s="56">
        <v>43141</v>
      </c>
      <c r="F73" s="50"/>
      <c r="G73" s="50"/>
      <c r="H73" s="50"/>
      <c r="I73" s="50"/>
      <c r="J73" s="59"/>
      <c r="K73" s="55"/>
      <c r="L73" s="55"/>
      <c r="M73" s="55"/>
      <c r="N73" s="81"/>
      <c r="O73" s="62"/>
    </row>
    <row r="74" spans="1:19" x14ac:dyDescent="0.3">
      <c r="A74" s="51">
        <v>69</v>
      </c>
      <c r="B74" s="51">
        <v>779</v>
      </c>
      <c r="C74" s="50"/>
      <c r="D74" s="53" t="s">
        <v>108</v>
      </c>
      <c r="E74" s="56">
        <v>43166</v>
      </c>
      <c r="F74" s="50"/>
      <c r="G74" s="50"/>
      <c r="H74" s="50"/>
      <c r="I74" s="50"/>
      <c r="J74" s="59"/>
      <c r="K74" s="55"/>
      <c r="L74" s="55"/>
      <c r="M74" s="55"/>
      <c r="N74" s="81"/>
      <c r="O74" s="62"/>
    </row>
    <row r="75" spans="1:19" x14ac:dyDescent="0.3">
      <c r="A75" s="51">
        <v>70</v>
      </c>
      <c r="B75" s="51">
        <v>780</v>
      </c>
      <c r="C75" s="50"/>
      <c r="D75" s="53" t="s">
        <v>109</v>
      </c>
      <c r="E75" s="56">
        <v>43178</v>
      </c>
      <c r="F75" s="50"/>
      <c r="G75" s="50"/>
      <c r="H75" s="50"/>
      <c r="I75" s="50"/>
      <c r="J75" s="59"/>
      <c r="K75" s="55"/>
      <c r="L75" s="55"/>
      <c r="M75" s="55"/>
      <c r="N75" s="81"/>
      <c r="O75" s="62"/>
    </row>
    <row r="76" spans="1:19" x14ac:dyDescent="0.3">
      <c r="A76" s="51">
        <v>71</v>
      </c>
      <c r="B76" s="51">
        <v>782</v>
      </c>
      <c r="C76" s="50"/>
      <c r="D76" s="53" t="s">
        <v>109</v>
      </c>
      <c r="E76" s="56">
        <v>43187</v>
      </c>
      <c r="F76" s="50"/>
      <c r="G76" s="50"/>
      <c r="H76" s="50"/>
      <c r="I76" s="50"/>
      <c r="J76" s="59"/>
      <c r="K76" s="55"/>
      <c r="L76" s="55"/>
      <c r="M76" s="55"/>
      <c r="N76" s="81"/>
      <c r="O76" s="62"/>
    </row>
    <row r="77" spans="1:19" x14ac:dyDescent="0.3">
      <c r="A77" s="51">
        <v>72</v>
      </c>
      <c r="B77" s="51">
        <v>783</v>
      </c>
      <c r="C77" s="50"/>
      <c r="D77" s="53" t="s">
        <v>109</v>
      </c>
      <c r="E77" s="56">
        <v>43192</v>
      </c>
      <c r="F77" s="50"/>
      <c r="G77" s="50"/>
      <c r="H77" s="50"/>
      <c r="I77" s="50"/>
      <c r="J77" s="59"/>
      <c r="K77" s="55"/>
      <c r="L77" s="55"/>
      <c r="M77" s="55"/>
      <c r="N77" s="81"/>
      <c r="O77" s="62"/>
    </row>
    <row r="78" spans="1:19" x14ac:dyDescent="0.3">
      <c r="A78" s="51">
        <v>73</v>
      </c>
      <c r="B78" s="51">
        <v>785</v>
      </c>
      <c r="C78" s="50"/>
      <c r="D78" s="53" t="s">
        <v>109</v>
      </c>
      <c r="E78" s="56">
        <v>43240</v>
      </c>
      <c r="F78" s="50"/>
      <c r="G78" s="50"/>
      <c r="H78" s="50"/>
      <c r="I78" s="50"/>
      <c r="J78" s="59"/>
      <c r="K78" s="55"/>
      <c r="L78" s="55"/>
      <c r="M78" s="55"/>
      <c r="N78" s="81"/>
      <c r="O78" s="62"/>
    </row>
    <row r="79" spans="1:19" x14ac:dyDescent="0.3">
      <c r="A79" s="51">
        <v>74</v>
      </c>
      <c r="B79" s="51">
        <v>786</v>
      </c>
      <c r="C79" s="50"/>
      <c r="D79" s="53" t="s">
        <v>109</v>
      </c>
      <c r="E79" s="56">
        <v>43240</v>
      </c>
      <c r="F79" s="50"/>
      <c r="G79" s="50"/>
      <c r="H79" s="50"/>
      <c r="I79" s="50"/>
      <c r="J79" s="59"/>
      <c r="K79" s="55"/>
      <c r="L79" s="55"/>
      <c r="M79" s="55"/>
      <c r="N79" s="81"/>
      <c r="O79" s="62"/>
    </row>
    <row r="80" spans="1:19" x14ac:dyDescent="0.3">
      <c r="A80" s="51">
        <v>76</v>
      </c>
      <c r="B80" s="51">
        <v>790</v>
      </c>
      <c r="C80" s="50"/>
      <c r="D80" s="53" t="s">
        <v>109</v>
      </c>
      <c r="E80" s="56">
        <v>43271</v>
      </c>
      <c r="F80" s="50"/>
      <c r="G80" s="50"/>
      <c r="H80" s="50"/>
      <c r="I80" s="50"/>
      <c r="J80" s="59"/>
      <c r="K80" s="55"/>
      <c r="L80" s="55"/>
      <c r="M80" s="55"/>
      <c r="N80" s="81"/>
      <c r="O80" s="62"/>
    </row>
    <row r="81" spans="1:15" x14ac:dyDescent="0.3">
      <c r="A81" s="51">
        <v>77</v>
      </c>
      <c r="B81" s="51">
        <v>796</v>
      </c>
      <c r="C81" s="50"/>
      <c r="D81" s="53" t="s">
        <v>109</v>
      </c>
      <c r="E81" s="56">
        <v>43507</v>
      </c>
      <c r="F81" s="50"/>
      <c r="G81" s="50"/>
      <c r="H81" s="50"/>
      <c r="I81" s="50"/>
      <c r="J81" s="59"/>
      <c r="K81" s="55"/>
      <c r="L81" s="55"/>
      <c r="M81" s="55"/>
      <c r="N81" s="81"/>
      <c r="O81" s="62"/>
    </row>
    <row r="82" spans="1:15" x14ac:dyDescent="0.3">
      <c r="A82" s="51">
        <v>78</v>
      </c>
      <c r="B82" s="51">
        <v>797</v>
      </c>
      <c r="C82" s="50"/>
      <c r="D82" s="53" t="s">
        <v>108</v>
      </c>
      <c r="E82" s="56">
        <v>43559</v>
      </c>
      <c r="F82" s="50"/>
      <c r="G82" s="50"/>
      <c r="H82" s="50"/>
      <c r="I82" s="50"/>
      <c r="J82" s="59"/>
      <c r="K82" s="55"/>
      <c r="L82" s="55"/>
      <c r="M82" s="55"/>
      <c r="N82" s="81"/>
      <c r="O82" s="62"/>
    </row>
    <row r="83" spans="1:15" x14ac:dyDescent="0.3">
      <c r="A83" s="51">
        <v>79</v>
      </c>
      <c r="B83" s="51">
        <v>799</v>
      </c>
      <c r="C83" s="50"/>
      <c r="D83" s="53" t="s">
        <v>108</v>
      </c>
      <c r="E83" s="56">
        <v>43559</v>
      </c>
      <c r="F83" s="50"/>
      <c r="G83" s="50"/>
      <c r="H83" s="50"/>
      <c r="I83" s="50"/>
      <c r="J83" s="59"/>
      <c r="K83" s="55"/>
      <c r="L83" s="55"/>
      <c r="M83" s="55"/>
      <c r="N83" s="81"/>
      <c r="O83" s="62"/>
    </row>
    <row r="84" spans="1:15" x14ac:dyDescent="0.3">
      <c r="A84" s="51">
        <v>80</v>
      </c>
      <c r="B84" s="51">
        <v>800</v>
      </c>
      <c r="C84" s="50"/>
      <c r="D84" s="53" t="s">
        <v>109</v>
      </c>
      <c r="E84" s="56">
        <v>43584</v>
      </c>
      <c r="F84" s="50"/>
      <c r="G84" s="50"/>
      <c r="H84" s="50"/>
      <c r="I84" s="50"/>
      <c r="J84" s="59"/>
      <c r="K84" s="55"/>
      <c r="L84" s="55"/>
      <c r="M84" s="55"/>
      <c r="N84" s="81"/>
      <c r="O84" s="62"/>
    </row>
    <row r="85" spans="1:15" x14ac:dyDescent="0.3">
      <c r="A85" s="51">
        <v>81</v>
      </c>
      <c r="B85" s="51">
        <v>801</v>
      </c>
      <c r="C85" s="50"/>
      <c r="D85" s="53" t="s">
        <v>109</v>
      </c>
      <c r="E85" s="56">
        <v>43624</v>
      </c>
      <c r="F85" s="50"/>
      <c r="G85" s="50"/>
      <c r="H85" s="50"/>
      <c r="I85" s="50"/>
      <c r="J85" s="59"/>
      <c r="K85" s="55"/>
      <c r="L85" s="55"/>
      <c r="M85" s="55"/>
      <c r="N85" s="81"/>
      <c r="O85" s="62"/>
    </row>
    <row r="86" spans="1:15" x14ac:dyDescent="0.3">
      <c r="A86" s="51">
        <v>82</v>
      </c>
      <c r="B86" s="51">
        <v>802</v>
      </c>
      <c r="C86" s="50"/>
      <c r="D86" s="53" t="s">
        <v>109</v>
      </c>
      <c r="E86" s="56">
        <v>43646</v>
      </c>
      <c r="F86" s="50"/>
      <c r="G86" s="50"/>
      <c r="H86" s="50"/>
      <c r="I86" s="50"/>
      <c r="J86" s="59"/>
      <c r="K86" s="55"/>
      <c r="L86" s="55"/>
      <c r="M86" s="55"/>
      <c r="N86" s="81"/>
      <c r="O86" s="62"/>
    </row>
    <row r="87" spans="1:15" x14ac:dyDescent="0.3">
      <c r="A87" s="51">
        <v>83</v>
      </c>
      <c r="B87" s="51">
        <v>806</v>
      </c>
      <c r="C87" s="50"/>
      <c r="D87" s="53" t="s">
        <v>109</v>
      </c>
      <c r="E87" s="56">
        <v>43804</v>
      </c>
      <c r="F87" s="50"/>
      <c r="G87" s="50"/>
      <c r="H87" s="50"/>
      <c r="I87" s="50"/>
      <c r="J87" s="59"/>
      <c r="K87" s="55"/>
      <c r="L87" s="55"/>
      <c r="M87" s="55"/>
      <c r="N87" s="81"/>
      <c r="O87" s="62"/>
    </row>
    <row r="88" spans="1:15" x14ac:dyDescent="0.3">
      <c r="A88" s="51">
        <v>84</v>
      </c>
      <c r="B88" s="51">
        <v>809</v>
      </c>
      <c r="C88" s="50"/>
      <c r="D88" s="53" t="s">
        <v>109</v>
      </c>
      <c r="E88" s="56">
        <v>43806</v>
      </c>
      <c r="F88" s="50"/>
      <c r="G88" s="50"/>
      <c r="H88" s="50"/>
      <c r="I88" s="50"/>
      <c r="J88" s="59"/>
      <c r="K88" s="55"/>
      <c r="L88" s="55"/>
      <c r="M88" s="55"/>
      <c r="N88" s="81"/>
      <c r="O88" s="62"/>
    </row>
    <row r="89" spans="1:15" x14ac:dyDescent="0.3">
      <c r="A89" s="51">
        <v>85</v>
      </c>
      <c r="B89" s="51">
        <v>810</v>
      </c>
      <c r="C89" s="50"/>
      <c r="D89" s="53" t="s">
        <v>109</v>
      </c>
      <c r="E89" s="56">
        <v>43807</v>
      </c>
      <c r="F89" s="50"/>
      <c r="G89" s="50"/>
      <c r="H89" s="50"/>
      <c r="I89" s="50"/>
      <c r="J89" s="59"/>
      <c r="K89" s="55"/>
      <c r="L89" s="55"/>
      <c r="M89" s="55"/>
      <c r="N89" s="81"/>
      <c r="O89" s="62"/>
    </row>
    <row r="90" spans="1:15" x14ac:dyDescent="0.3">
      <c r="A90" s="51">
        <v>86</v>
      </c>
      <c r="B90" s="51">
        <v>811</v>
      </c>
      <c r="C90" s="50"/>
      <c r="D90" s="53" t="s">
        <v>109</v>
      </c>
      <c r="E90" s="56">
        <v>43807</v>
      </c>
      <c r="F90" s="50"/>
      <c r="G90" s="50"/>
      <c r="H90" s="50"/>
      <c r="I90" s="50"/>
      <c r="J90" s="59"/>
      <c r="K90" s="55"/>
      <c r="L90" s="55"/>
      <c r="M90" s="55"/>
      <c r="N90" s="81"/>
      <c r="O90" s="62"/>
    </row>
    <row r="91" spans="1:15" x14ac:dyDescent="0.3">
      <c r="A91" s="51">
        <v>87</v>
      </c>
      <c r="B91" s="51">
        <v>812</v>
      </c>
      <c r="C91" s="50"/>
      <c r="D91" s="53" t="s">
        <v>109</v>
      </c>
      <c r="E91" s="56">
        <v>43809</v>
      </c>
      <c r="F91" s="50"/>
      <c r="G91" s="50"/>
      <c r="H91" s="50"/>
      <c r="I91" s="50"/>
      <c r="J91" s="59"/>
      <c r="K91" s="55"/>
      <c r="L91" s="55"/>
      <c r="M91" s="55"/>
      <c r="N91" s="81"/>
      <c r="O91" s="62"/>
    </row>
    <row r="92" spans="1:15" x14ac:dyDescent="0.3">
      <c r="A92" s="51">
        <v>88</v>
      </c>
      <c r="B92" s="51">
        <v>814</v>
      </c>
      <c r="C92" s="50"/>
      <c r="D92" s="53" t="s">
        <v>110</v>
      </c>
      <c r="E92" s="56">
        <v>43811</v>
      </c>
      <c r="F92" s="50"/>
      <c r="G92" s="50"/>
      <c r="H92" s="50"/>
      <c r="I92" s="50"/>
      <c r="J92" s="59"/>
      <c r="K92" s="55"/>
      <c r="L92" s="55"/>
      <c r="M92" s="55"/>
      <c r="N92" s="81"/>
      <c r="O92" s="62"/>
    </row>
    <row r="93" spans="1:15" x14ac:dyDescent="0.3">
      <c r="A93" s="51">
        <v>89</v>
      </c>
      <c r="B93" s="51">
        <v>815</v>
      </c>
      <c r="C93" s="50"/>
      <c r="D93" s="53" t="s">
        <v>110</v>
      </c>
      <c r="E93" s="56">
        <v>43811</v>
      </c>
      <c r="F93" s="50"/>
      <c r="G93" s="50"/>
      <c r="H93" s="50"/>
      <c r="I93" s="50"/>
      <c r="J93" s="59"/>
      <c r="K93" s="55"/>
      <c r="L93" s="55"/>
      <c r="M93" s="55"/>
      <c r="N93" s="81"/>
      <c r="O93" s="62"/>
    </row>
    <row r="94" spans="1:15" x14ac:dyDescent="0.3">
      <c r="A94" s="51">
        <v>93</v>
      </c>
      <c r="B94" s="51">
        <v>820</v>
      </c>
      <c r="C94" s="50"/>
      <c r="D94" s="53" t="s">
        <v>109</v>
      </c>
      <c r="E94" s="56">
        <v>43816</v>
      </c>
      <c r="F94" s="50"/>
      <c r="G94" s="50"/>
      <c r="H94" s="50"/>
      <c r="I94" s="50"/>
      <c r="J94" s="59"/>
      <c r="K94" s="55"/>
      <c r="L94" s="55"/>
      <c r="M94" s="55"/>
      <c r="N94" s="81"/>
      <c r="O94" s="62"/>
    </row>
    <row r="95" spans="1:15" x14ac:dyDescent="0.3">
      <c r="A95" s="51">
        <v>94</v>
      </c>
      <c r="B95" s="51">
        <v>824</v>
      </c>
      <c r="C95" s="50"/>
      <c r="D95" s="53" t="s">
        <v>109</v>
      </c>
      <c r="E95" s="56">
        <v>43819</v>
      </c>
      <c r="F95" s="50"/>
      <c r="G95" s="50"/>
      <c r="H95" s="50"/>
      <c r="I95" s="50"/>
      <c r="J95" s="59"/>
      <c r="K95" s="55"/>
      <c r="L95" s="55"/>
      <c r="M95" s="55"/>
      <c r="N95" s="81"/>
      <c r="O95" s="62"/>
    </row>
    <row r="96" spans="1:15" x14ac:dyDescent="0.3">
      <c r="A96" s="51">
        <v>95</v>
      </c>
      <c r="B96" s="51">
        <v>826</v>
      </c>
      <c r="C96" s="50"/>
      <c r="D96" s="53" t="s">
        <v>109</v>
      </c>
      <c r="E96" s="56">
        <v>43821</v>
      </c>
      <c r="F96" s="50"/>
      <c r="G96" s="50"/>
      <c r="H96" s="50"/>
      <c r="I96" s="50"/>
      <c r="J96" s="59"/>
      <c r="K96" s="55"/>
      <c r="L96" s="55"/>
      <c r="M96" s="55"/>
      <c r="N96" s="81"/>
      <c r="O96" s="62"/>
    </row>
    <row r="97" spans="1:15" x14ac:dyDescent="0.3">
      <c r="A97" s="51">
        <v>96</v>
      </c>
      <c r="B97" s="51">
        <v>829</v>
      </c>
      <c r="C97" s="50"/>
      <c r="D97" s="53" t="s">
        <v>105</v>
      </c>
      <c r="E97" s="56">
        <v>43838</v>
      </c>
      <c r="F97" s="50"/>
      <c r="G97" s="50"/>
      <c r="H97" s="50"/>
      <c r="I97" s="50"/>
      <c r="J97" s="59"/>
      <c r="K97" s="55"/>
      <c r="L97" s="55"/>
      <c r="M97" s="55"/>
      <c r="N97" s="81"/>
      <c r="O97" s="62"/>
    </row>
    <row r="98" spans="1:15" x14ac:dyDescent="0.3">
      <c r="A98" s="51">
        <v>97</v>
      </c>
      <c r="B98" s="51">
        <v>833</v>
      </c>
      <c r="C98" s="50"/>
      <c r="D98" s="53" t="s">
        <v>109</v>
      </c>
      <c r="E98" s="56">
        <v>43860</v>
      </c>
      <c r="F98" s="50"/>
      <c r="G98" s="50"/>
      <c r="H98" s="50"/>
      <c r="I98" s="50"/>
      <c r="J98" s="59"/>
      <c r="K98" s="55"/>
      <c r="L98" s="55"/>
      <c r="M98" s="55"/>
      <c r="N98" s="81"/>
      <c r="O98" s="62"/>
    </row>
    <row r="99" spans="1:15" x14ac:dyDescent="0.3">
      <c r="A99" s="51">
        <v>98</v>
      </c>
      <c r="B99" s="51">
        <v>837</v>
      </c>
      <c r="C99" s="50"/>
      <c r="D99" s="53" t="s">
        <v>109</v>
      </c>
      <c r="E99" s="56">
        <v>43884</v>
      </c>
      <c r="F99" s="50"/>
      <c r="G99" s="50"/>
      <c r="H99" s="50"/>
      <c r="I99" s="50"/>
      <c r="J99" s="59"/>
      <c r="K99" s="55"/>
      <c r="L99" s="55"/>
      <c r="M99" s="55"/>
      <c r="N99" s="81"/>
      <c r="O99" s="62"/>
    </row>
    <row r="100" spans="1:15" x14ac:dyDescent="0.3">
      <c r="A100" s="51">
        <v>99</v>
      </c>
      <c r="B100" s="51">
        <v>841</v>
      </c>
      <c r="C100" s="50"/>
      <c r="D100" s="53" t="s">
        <v>109</v>
      </c>
      <c r="E100" s="56">
        <v>43943</v>
      </c>
      <c r="F100" s="50"/>
      <c r="G100" s="50"/>
      <c r="H100" s="50"/>
      <c r="I100" s="50"/>
      <c r="J100" s="59"/>
      <c r="K100" s="55"/>
      <c r="L100" s="55"/>
      <c r="M100" s="55"/>
      <c r="N100" s="81"/>
      <c r="O100" s="62"/>
    </row>
    <row r="101" spans="1:15" x14ac:dyDescent="0.3">
      <c r="A101" s="51">
        <v>100</v>
      </c>
      <c r="B101" s="51">
        <v>807</v>
      </c>
      <c r="C101" s="50"/>
      <c r="D101" s="53" t="s">
        <v>109</v>
      </c>
      <c r="E101" s="56">
        <v>44170</v>
      </c>
      <c r="F101" s="50"/>
      <c r="G101" s="50"/>
      <c r="H101" s="50"/>
      <c r="I101" s="50"/>
      <c r="J101" s="59"/>
      <c r="K101" s="55"/>
      <c r="L101" s="55"/>
      <c r="M101" s="55"/>
      <c r="N101" s="81"/>
      <c r="O101" s="62"/>
    </row>
    <row r="102" spans="1:15" x14ac:dyDescent="0.3">
      <c r="A102" s="51">
        <v>101</v>
      </c>
      <c r="B102" s="51"/>
      <c r="C102" s="50"/>
      <c r="D102" s="53"/>
      <c r="E102" s="56"/>
      <c r="F102" s="50"/>
      <c r="G102" s="50"/>
      <c r="H102" s="50"/>
      <c r="I102" s="50"/>
      <c r="J102" s="59"/>
      <c r="K102" s="55"/>
      <c r="L102" s="55"/>
      <c r="M102" s="55"/>
      <c r="N102" s="81"/>
      <c r="O102" s="62"/>
    </row>
    <row r="103" spans="1:15" x14ac:dyDescent="0.3">
      <c r="A103" s="51">
        <v>102</v>
      </c>
      <c r="B103" s="51"/>
      <c r="C103" s="50"/>
      <c r="D103" s="53"/>
      <c r="E103" s="56"/>
      <c r="F103" s="50"/>
      <c r="G103" s="50"/>
      <c r="H103" s="50"/>
      <c r="I103" s="50"/>
      <c r="J103" s="59"/>
      <c r="K103" s="55"/>
      <c r="L103" s="55"/>
      <c r="M103" s="55"/>
      <c r="N103" s="81"/>
      <c r="O103" s="62"/>
    </row>
    <row r="104" spans="1:15" x14ac:dyDescent="0.3">
      <c r="A104" s="51">
        <v>103</v>
      </c>
      <c r="B104" s="51"/>
      <c r="C104" s="50"/>
      <c r="D104" s="53"/>
      <c r="E104" s="56"/>
      <c r="F104" s="50"/>
      <c r="G104" s="50"/>
      <c r="H104" s="50"/>
      <c r="I104" s="50"/>
      <c r="J104" s="59"/>
      <c r="K104" s="55"/>
      <c r="L104" s="55"/>
      <c r="M104" s="55"/>
      <c r="N104" s="81"/>
      <c r="O104" s="62"/>
    </row>
    <row r="105" spans="1:15" x14ac:dyDescent="0.3">
      <c r="A105" s="51">
        <v>104</v>
      </c>
      <c r="B105" s="51"/>
      <c r="C105" s="50"/>
      <c r="D105" s="53"/>
      <c r="E105" s="56"/>
      <c r="F105" s="50"/>
      <c r="G105" s="50"/>
      <c r="H105" s="50"/>
      <c r="I105" s="50"/>
      <c r="J105" s="59"/>
      <c r="K105" s="55"/>
      <c r="L105" s="55"/>
      <c r="M105" s="55"/>
      <c r="N105" s="81"/>
      <c r="O105" s="62"/>
    </row>
    <row r="106" spans="1:15" x14ac:dyDescent="0.3">
      <c r="A106" s="51">
        <v>105</v>
      </c>
      <c r="B106" s="51"/>
      <c r="C106" s="50"/>
      <c r="D106" s="53"/>
      <c r="E106" s="56"/>
      <c r="F106" s="50"/>
      <c r="G106" s="50"/>
      <c r="H106" s="50"/>
      <c r="I106" s="50"/>
      <c r="J106" s="59"/>
      <c r="K106" s="55"/>
      <c r="L106" s="55"/>
      <c r="M106" s="55"/>
      <c r="O106" s="62"/>
    </row>
    <row r="107" spans="1:15" x14ac:dyDescent="0.3">
      <c r="A107" s="51">
        <v>106</v>
      </c>
      <c r="B107" s="51"/>
      <c r="C107" s="50"/>
      <c r="D107" s="53"/>
      <c r="E107" s="56"/>
      <c r="F107" s="50"/>
      <c r="G107" s="50"/>
      <c r="H107" s="50"/>
      <c r="I107" s="50"/>
      <c r="J107" s="59"/>
      <c r="K107" s="55"/>
      <c r="L107" s="55"/>
      <c r="M107" s="55"/>
    </row>
    <row r="108" spans="1:15" x14ac:dyDescent="0.3">
      <c r="A108" s="51">
        <v>107</v>
      </c>
      <c r="B108" s="51"/>
      <c r="C108" s="50"/>
      <c r="D108" s="53"/>
      <c r="E108" s="56"/>
      <c r="F108" s="50"/>
      <c r="G108" s="50"/>
      <c r="H108" s="50"/>
      <c r="I108" s="50"/>
      <c r="J108" s="59"/>
      <c r="K108" s="55"/>
      <c r="L108" s="55"/>
      <c r="M108" s="55"/>
    </row>
    <row r="109" spans="1:15" x14ac:dyDescent="0.3">
      <c r="A109" s="51">
        <v>108</v>
      </c>
      <c r="B109" s="51"/>
      <c r="C109" s="50"/>
      <c r="D109" s="53"/>
      <c r="E109" s="56"/>
      <c r="F109" s="50"/>
      <c r="G109" s="50"/>
      <c r="H109" s="50"/>
      <c r="I109" s="50"/>
      <c r="J109" s="59"/>
      <c r="K109" s="55"/>
      <c r="L109" s="55"/>
      <c r="M109" s="55"/>
    </row>
    <row r="110" spans="1:15" x14ac:dyDescent="0.3">
      <c r="A110" s="51">
        <v>109</v>
      </c>
      <c r="B110" s="51"/>
      <c r="C110" s="50"/>
      <c r="D110" s="53"/>
      <c r="E110" s="56"/>
      <c r="F110" s="50"/>
      <c r="G110" s="50"/>
      <c r="H110" s="50"/>
      <c r="I110" s="50"/>
      <c r="J110" s="59"/>
      <c r="K110" s="55"/>
      <c r="L110" s="55"/>
      <c r="M110" s="55"/>
    </row>
    <row r="111" spans="1:15" x14ac:dyDescent="0.3">
      <c r="A111" s="51">
        <v>110</v>
      </c>
      <c r="B111" s="51"/>
      <c r="C111" s="50"/>
      <c r="D111" s="53"/>
      <c r="E111" s="56"/>
      <c r="F111" s="50"/>
      <c r="G111" s="50"/>
      <c r="H111" s="50"/>
      <c r="I111" s="50"/>
      <c r="J111" s="59"/>
      <c r="K111" s="55"/>
      <c r="L111" s="55"/>
      <c r="M111" s="55"/>
    </row>
    <row r="112" spans="1:15" x14ac:dyDescent="0.3">
      <c r="A112" s="51">
        <v>111</v>
      </c>
      <c r="B112" s="51"/>
      <c r="C112" s="50"/>
      <c r="D112" s="53"/>
      <c r="E112" s="56"/>
      <c r="F112" s="50"/>
      <c r="G112" s="50"/>
      <c r="H112" s="50"/>
      <c r="I112" s="50"/>
      <c r="J112" s="59"/>
      <c r="K112" s="55"/>
      <c r="L112" s="55"/>
      <c r="M112" s="55"/>
    </row>
    <row r="113" spans="1:19" x14ac:dyDescent="0.3">
      <c r="A113" s="51">
        <v>112</v>
      </c>
      <c r="B113" s="51"/>
      <c r="C113" s="50"/>
      <c r="D113" s="53"/>
      <c r="E113" s="56"/>
      <c r="F113" s="50"/>
      <c r="G113" s="50"/>
      <c r="H113" s="50"/>
      <c r="I113" s="50"/>
      <c r="J113" s="59"/>
      <c r="K113" s="55"/>
      <c r="L113" s="55"/>
      <c r="M113" s="55"/>
    </row>
    <row r="114" spans="1:19" x14ac:dyDescent="0.3">
      <c r="A114" s="51">
        <v>113</v>
      </c>
      <c r="B114" s="51"/>
      <c r="C114" s="50"/>
      <c r="D114" s="53"/>
      <c r="E114" s="56"/>
      <c r="F114" s="50"/>
      <c r="G114" s="50"/>
      <c r="H114" s="50"/>
      <c r="I114" s="50"/>
      <c r="J114" s="59"/>
      <c r="K114" s="55"/>
      <c r="L114" s="55"/>
      <c r="M114" s="55"/>
    </row>
    <row r="115" spans="1:19" x14ac:dyDescent="0.3">
      <c r="A115" s="51">
        <v>114</v>
      </c>
      <c r="B115" s="51"/>
      <c r="C115" s="50"/>
      <c r="D115" s="53"/>
      <c r="E115" s="56"/>
      <c r="F115" s="50"/>
      <c r="G115" s="50"/>
      <c r="H115" s="50"/>
      <c r="I115" s="50"/>
      <c r="J115" s="59"/>
      <c r="K115" s="55"/>
      <c r="L115" s="55"/>
      <c r="M115" s="55"/>
    </row>
    <row r="116" spans="1:19" x14ac:dyDescent="0.3">
      <c r="A116" s="51">
        <v>115</v>
      </c>
      <c r="B116" s="51"/>
      <c r="C116" s="50"/>
      <c r="D116" s="53"/>
      <c r="E116" s="56"/>
      <c r="F116" s="50"/>
      <c r="G116" s="50"/>
      <c r="H116" s="50"/>
      <c r="I116" s="50"/>
      <c r="J116" s="59"/>
      <c r="K116" s="55"/>
      <c r="L116" s="55"/>
      <c r="M116" s="55"/>
    </row>
    <row r="117" spans="1:19" x14ac:dyDescent="0.3">
      <c r="A117" s="51">
        <v>116</v>
      </c>
      <c r="B117" s="51"/>
      <c r="C117" s="50"/>
      <c r="D117" s="53"/>
      <c r="E117" s="56"/>
      <c r="F117" s="50"/>
      <c r="G117" s="50"/>
      <c r="H117" s="50"/>
      <c r="I117" s="50"/>
      <c r="J117" s="59"/>
      <c r="K117" s="55"/>
      <c r="L117" s="55"/>
      <c r="M117" s="55"/>
    </row>
    <row r="118" spans="1:19" x14ac:dyDescent="0.3">
      <c r="A118" s="51">
        <v>117</v>
      </c>
      <c r="B118" s="51"/>
      <c r="C118" s="50"/>
      <c r="D118" s="53"/>
      <c r="E118" s="56"/>
      <c r="F118" s="50"/>
      <c r="G118" s="50"/>
      <c r="H118" s="50"/>
      <c r="I118" s="50"/>
      <c r="J118" s="59"/>
      <c r="K118" s="55"/>
      <c r="L118" s="55"/>
      <c r="M118" s="55"/>
    </row>
    <row r="119" spans="1:19" x14ac:dyDescent="0.3">
      <c r="A119" s="51">
        <v>118</v>
      </c>
      <c r="B119" s="51"/>
      <c r="C119" s="50"/>
      <c r="D119" s="53"/>
      <c r="E119" s="56"/>
      <c r="F119" s="50"/>
      <c r="G119" s="50"/>
      <c r="H119" s="50"/>
      <c r="I119" s="50"/>
      <c r="J119" s="59"/>
      <c r="K119" s="55"/>
      <c r="L119" s="55"/>
      <c r="M119" s="55"/>
    </row>
    <row r="120" spans="1:19" x14ac:dyDescent="0.3">
      <c r="A120" s="51">
        <v>119</v>
      </c>
      <c r="B120" s="51"/>
      <c r="C120" s="50"/>
      <c r="D120" s="53"/>
      <c r="E120" s="56"/>
      <c r="F120" s="50"/>
      <c r="G120" s="50"/>
      <c r="H120" s="50"/>
      <c r="I120" s="50"/>
      <c r="J120" s="59"/>
      <c r="K120" s="55"/>
      <c r="L120" s="55"/>
      <c r="M120" s="55"/>
    </row>
    <row r="121" spans="1:19" x14ac:dyDescent="0.3">
      <c r="A121" s="51"/>
      <c r="B121" s="51"/>
      <c r="C121" s="50"/>
      <c r="D121" s="53"/>
      <c r="E121" s="56"/>
      <c r="F121" s="50"/>
      <c r="G121" s="50"/>
      <c r="H121" s="50"/>
      <c r="I121" s="50"/>
      <c r="J121" s="59"/>
      <c r="K121" s="55"/>
      <c r="L121" s="55"/>
      <c r="M121" s="55"/>
    </row>
    <row r="122" spans="1:19" x14ac:dyDescent="0.3">
      <c r="A122" s="51"/>
      <c r="B122" s="51"/>
      <c r="C122" s="50"/>
      <c r="D122" s="53"/>
      <c r="E122" s="56"/>
      <c r="F122" s="50"/>
      <c r="G122" s="50"/>
      <c r="H122" s="50"/>
      <c r="I122" s="50"/>
      <c r="J122" s="59"/>
      <c r="K122" s="55"/>
      <c r="L122" s="55"/>
      <c r="M122" s="55"/>
    </row>
    <row r="123" spans="1:19" x14ac:dyDescent="0.3">
      <c r="A123" s="51"/>
      <c r="B123" s="51"/>
      <c r="C123" s="50"/>
      <c r="D123" s="53"/>
      <c r="E123" s="56"/>
      <c r="F123" s="50"/>
      <c r="G123" s="50"/>
      <c r="H123" s="50"/>
      <c r="I123" s="50"/>
      <c r="J123" s="59"/>
      <c r="K123" s="55"/>
      <c r="L123" s="55"/>
      <c r="M123" s="55"/>
    </row>
    <row r="125" spans="1:19" s="6" customFormat="1" x14ac:dyDescent="0.3">
      <c r="A125"/>
      <c r="B125" s="6" t="s">
        <v>125</v>
      </c>
      <c r="C125" s="6" t="s">
        <v>121</v>
      </c>
      <c r="D125" s="6" t="s">
        <v>126</v>
      </c>
      <c r="E125" s="6" t="s">
        <v>120</v>
      </c>
      <c r="K125"/>
      <c r="L125"/>
      <c r="M125"/>
      <c r="N125"/>
      <c r="O125"/>
      <c r="P125"/>
      <c r="Q125"/>
      <c r="R125"/>
      <c r="S125"/>
    </row>
    <row r="126" spans="1:19" s="6" customFormat="1" x14ac:dyDescent="0.3">
      <c r="A126"/>
      <c r="B126" s="6" t="s">
        <v>122</v>
      </c>
      <c r="C126" s="6" t="s">
        <v>121</v>
      </c>
      <c r="D126" s="6" t="s">
        <v>123</v>
      </c>
      <c r="E126" s="6" t="s">
        <v>124</v>
      </c>
      <c r="K126"/>
      <c r="L126"/>
      <c r="M126"/>
      <c r="N126"/>
      <c r="O126"/>
      <c r="P126"/>
      <c r="Q126"/>
      <c r="R126"/>
      <c r="S126"/>
    </row>
    <row r="127" spans="1:19" s="6" customFormat="1" x14ac:dyDescent="0.3">
      <c r="A127"/>
      <c r="B127" s="6" t="s">
        <v>128</v>
      </c>
      <c r="C127" s="6" t="s">
        <v>127</v>
      </c>
      <c r="D127" s="6" t="s">
        <v>131</v>
      </c>
      <c r="K127"/>
      <c r="L127"/>
      <c r="M127"/>
      <c r="N127"/>
      <c r="O127"/>
      <c r="P127"/>
      <c r="Q127"/>
      <c r="R127"/>
      <c r="S127"/>
    </row>
    <row r="128" spans="1:19" s="6" customFormat="1" x14ac:dyDescent="0.3">
      <c r="A128"/>
      <c r="B128" s="6" t="s">
        <v>129</v>
      </c>
      <c r="C128" s="6" t="s">
        <v>127</v>
      </c>
      <c r="D128" s="6" t="s">
        <v>130</v>
      </c>
      <c r="K128"/>
      <c r="L128"/>
      <c r="M128"/>
      <c r="N128"/>
      <c r="O128"/>
      <c r="P128"/>
      <c r="Q128"/>
      <c r="R128"/>
      <c r="S128"/>
    </row>
    <row r="131" spans="1:19" s="6" customFormat="1" x14ac:dyDescent="0.3">
      <c r="A131"/>
      <c r="B131" s="68" t="s">
        <v>141</v>
      </c>
      <c r="D131" s="69" t="s">
        <v>146</v>
      </c>
      <c r="E131" s="69" t="s">
        <v>144</v>
      </c>
      <c r="F131" s="69" t="s">
        <v>145</v>
      </c>
      <c r="K131"/>
      <c r="L131"/>
      <c r="M131"/>
      <c r="N131"/>
      <c r="O131"/>
      <c r="P131"/>
      <c r="Q131"/>
      <c r="R131"/>
      <c r="S131"/>
    </row>
    <row r="132" spans="1:19" s="6" customFormat="1" x14ac:dyDescent="0.3">
      <c r="A132"/>
      <c r="B132" s="6" t="s">
        <v>142</v>
      </c>
      <c r="D132" s="69">
        <f>SUM(D133:D134)</f>
        <v>46</v>
      </c>
      <c r="E132" s="4">
        <v>100</v>
      </c>
      <c r="F132" s="69">
        <f>SUM(F133:F134)</f>
        <v>37</v>
      </c>
      <c r="K132"/>
      <c r="L132"/>
      <c r="M132"/>
      <c r="N132"/>
      <c r="O132"/>
      <c r="P132"/>
      <c r="Q132"/>
      <c r="R132"/>
      <c r="S132"/>
    </row>
    <row r="133" spans="1:19" s="6" customFormat="1" x14ac:dyDescent="0.3">
      <c r="A133"/>
      <c r="C133" s="6" t="s">
        <v>143</v>
      </c>
      <c r="D133" s="4">
        <v>28</v>
      </c>
      <c r="E133" s="4">
        <v>50</v>
      </c>
      <c r="F133" s="4">
        <f>D132*50%</f>
        <v>23</v>
      </c>
      <c r="K133"/>
      <c r="L133"/>
      <c r="M133"/>
      <c r="N133"/>
      <c r="O133"/>
      <c r="P133"/>
      <c r="Q133"/>
      <c r="R133"/>
      <c r="S133"/>
    </row>
    <row r="134" spans="1:19" s="6" customFormat="1" x14ac:dyDescent="0.3">
      <c r="A134"/>
      <c r="C134" s="6" t="s">
        <v>118</v>
      </c>
      <c r="D134" s="4">
        <v>18</v>
      </c>
      <c r="E134" s="4">
        <v>50</v>
      </c>
      <c r="F134" s="4">
        <f>D133*50%</f>
        <v>14</v>
      </c>
      <c r="K134"/>
      <c r="L134"/>
      <c r="M134"/>
      <c r="N134"/>
      <c r="O134"/>
      <c r="P134"/>
      <c r="Q134"/>
      <c r="R134"/>
      <c r="S134"/>
    </row>
    <row r="135" spans="1:19" s="6" customFormat="1" x14ac:dyDescent="0.3">
      <c r="A135"/>
      <c r="E135" s="4"/>
      <c r="K135"/>
      <c r="L135"/>
      <c r="M135"/>
      <c r="N135"/>
      <c r="O135"/>
      <c r="P135"/>
      <c r="Q135"/>
      <c r="R135"/>
      <c r="S135"/>
    </row>
    <row r="136" spans="1:19" s="6" customFormat="1" x14ac:dyDescent="0.3">
      <c r="A136"/>
      <c r="E136" s="4"/>
      <c r="K136"/>
      <c r="L136"/>
      <c r="M136"/>
      <c r="N136"/>
      <c r="O136"/>
      <c r="P136"/>
      <c r="Q136"/>
      <c r="R136"/>
      <c r="S136"/>
    </row>
    <row r="137" spans="1:19" s="6" customFormat="1" x14ac:dyDescent="0.3">
      <c r="A137"/>
      <c r="C137" s="6" t="s">
        <v>147</v>
      </c>
      <c r="D137" s="69">
        <v>1</v>
      </c>
      <c r="E137" s="4">
        <v>3</v>
      </c>
      <c r="F137" s="69">
        <v>1</v>
      </c>
      <c r="K137"/>
      <c r="L137"/>
      <c r="M137"/>
      <c r="N137"/>
      <c r="O137"/>
      <c r="P137"/>
      <c r="Q137"/>
      <c r="R137"/>
      <c r="S137"/>
    </row>
    <row r="138" spans="1:19" s="6" customFormat="1" x14ac:dyDescent="0.3">
      <c r="A138"/>
      <c r="D138" s="4"/>
      <c r="E138" s="4"/>
      <c r="K138"/>
      <c r="L138"/>
      <c r="M138"/>
      <c r="N138"/>
      <c r="O138"/>
      <c r="P138"/>
      <c r="Q138"/>
      <c r="R138"/>
      <c r="S138"/>
    </row>
    <row r="139" spans="1:19" s="6" customFormat="1" x14ac:dyDescent="0.3">
      <c r="A139"/>
      <c r="B139" s="6" t="s">
        <v>148</v>
      </c>
      <c r="D139" s="69">
        <f>SUM(D140:D143)</f>
        <v>47</v>
      </c>
      <c r="E139" s="4"/>
      <c r="F139" s="71">
        <f>SUM(F140:F143)</f>
        <v>43.7</v>
      </c>
      <c r="K139"/>
      <c r="L139"/>
      <c r="M139"/>
      <c r="N139"/>
      <c r="O139"/>
      <c r="P139"/>
      <c r="Q139"/>
      <c r="R139"/>
      <c r="S139"/>
    </row>
    <row r="140" spans="1:19" s="6" customFormat="1" x14ac:dyDescent="0.3">
      <c r="A140"/>
      <c r="C140" s="6" t="s">
        <v>149</v>
      </c>
      <c r="D140" s="4">
        <v>19</v>
      </c>
      <c r="E140" s="4" t="s">
        <v>155</v>
      </c>
      <c r="F140" s="70">
        <f>D132*10%</f>
        <v>4.6000000000000005</v>
      </c>
      <c r="K140"/>
      <c r="L140"/>
      <c r="M140"/>
      <c r="N140"/>
      <c r="O140"/>
      <c r="P140"/>
      <c r="Q140"/>
      <c r="R140"/>
      <c r="S140"/>
    </row>
    <row r="141" spans="1:19" s="6" customFormat="1" x14ac:dyDescent="0.3">
      <c r="A141"/>
      <c r="C141" s="6" t="s">
        <v>150</v>
      </c>
      <c r="D141" s="4">
        <v>5</v>
      </c>
      <c r="E141" s="4">
        <v>15</v>
      </c>
      <c r="F141" s="70">
        <f>D132*15%</f>
        <v>6.8999999999999995</v>
      </c>
      <c r="K141"/>
      <c r="L141"/>
      <c r="M141"/>
      <c r="N141"/>
      <c r="O141"/>
      <c r="P141"/>
      <c r="Q141"/>
      <c r="R141"/>
      <c r="S141"/>
    </row>
    <row r="142" spans="1:19" s="6" customFormat="1" x14ac:dyDescent="0.3">
      <c r="A142"/>
      <c r="C142" s="6" t="s">
        <v>151</v>
      </c>
      <c r="D142" s="4">
        <v>4</v>
      </c>
      <c r="E142" s="4">
        <v>20</v>
      </c>
      <c r="F142" s="70">
        <f>D132*20%</f>
        <v>9.2000000000000011</v>
      </c>
      <c r="K142"/>
      <c r="L142"/>
      <c r="M142"/>
      <c r="N142"/>
      <c r="O142"/>
      <c r="P142"/>
      <c r="Q142"/>
      <c r="R142"/>
      <c r="S142"/>
    </row>
    <row r="143" spans="1:19" s="6" customFormat="1" x14ac:dyDescent="0.3">
      <c r="A143"/>
      <c r="C143" s="6" t="s">
        <v>152</v>
      </c>
      <c r="D143" s="4">
        <v>19</v>
      </c>
      <c r="E143" s="4" t="s">
        <v>156</v>
      </c>
      <c r="F143" s="4">
        <f>D132*50%</f>
        <v>23</v>
      </c>
      <c r="K143"/>
      <c r="L143"/>
      <c r="M143"/>
      <c r="N143"/>
      <c r="O143"/>
      <c r="P143"/>
      <c r="Q143"/>
      <c r="R143"/>
      <c r="S143"/>
    </row>
    <row r="144" spans="1:19" s="6" customFormat="1" x14ac:dyDescent="0.3">
      <c r="A144"/>
      <c r="E144" s="4"/>
      <c r="F144" s="4"/>
      <c r="K144"/>
      <c r="L144"/>
      <c r="M144"/>
      <c r="N144"/>
      <c r="O144"/>
      <c r="P144"/>
      <c r="Q144"/>
      <c r="R144"/>
      <c r="S144"/>
    </row>
    <row r="145" spans="1:19" s="6" customFormat="1" x14ac:dyDescent="0.3">
      <c r="A145"/>
      <c r="D145" s="4"/>
      <c r="E145" s="4"/>
      <c r="F145" s="4"/>
      <c r="K145"/>
      <c r="L145"/>
      <c r="M145"/>
      <c r="N145"/>
      <c r="O145"/>
      <c r="P145"/>
      <c r="Q145"/>
      <c r="R145"/>
      <c r="S145"/>
    </row>
    <row r="146" spans="1:19" s="6" customFormat="1" x14ac:dyDescent="0.3">
      <c r="A146"/>
      <c r="B146" s="6" t="s">
        <v>153</v>
      </c>
      <c r="D146" s="69">
        <v>24</v>
      </c>
      <c r="E146" s="4" t="s">
        <v>156</v>
      </c>
      <c r="F146" s="69">
        <f>D132*50%</f>
        <v>23</v>
      </c>
      <c r="K146"/>
      <c r="L146"/>
      <c r="M146"/>
      <c r="N146"/>
      <c r="O146"/>
      <c r="P146"/>
      <c r="Q146"/>
      <c r="R146"/>
      <c r="S146"/>
    </row>
    <row r="147" spans="1:19" s="6" customFormat="1" x14ac:dyDescent="0.3">
      <c r="A147"/>
      <c r="D147" s="4"/>
      <c r="E147" s="4"/>
      <c r="K147"/>
      <c r="L147"/>
      <c r="M147"/>
      <c r="N147"/>
      <c r="O147"/>
      <c r="P147"/>
      <c r="Q147"/>
      <c r="R147"/>
      <c r="S147"/>
    </row>
    <row r="148" spans="1:19" s="6" customFormat="1" x14ac:dyDescent="0.3">
      <c r="A148"/>
      <c r="B148" s="6" t="s">
        <v>154</v>
      </c>
      <c r="D148" s="69">
        <f>D132+D137+D139+D146</f>
        <v>118</v>
      </c>
      <c r="E148" s="4"/>
      <c r="F148" s="71">
        <f>F132+F137+F139+F146</f>
        <v>104.7</v>
      </c>
      <c r="K148"/>
      <c r="L148"/>
      <c r="M148"/>
      <c r="N148"/>
      <c r="O148"/>
      <c r="P148"/>
      <c r="Q148"/>
      <c r="R148"/>
      <c r="S148"/>
    </row>
  </sheetData>
  <autoFilter ref="A2:P2" xr:uid="{00000000-0009-0000-0000-000006000000}">
    <sortState xmlns:xlrd2="http://schemas.microsoft.com/office/spreadsheetml/2017/richdata2" ref="A3:P71">
      <sortCondition ref="O2"/>
    </sortState>
  </autoFilter>
  <sortState xmlns:xlrd2="http://schemas.microsoft.com/office/spreadsheetml/2017/richdata2" ref="A3:M71">
    <sortCondition descending="1" ref="L3"/>
  </sortState>
  <phoneticPr fontId="1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44"/>
  <sheetViews>
    <sheetView zoomScaleNormal="100" workbookViewId="0">
      <pane xSplit="3" ySplit="2" topLeftCell="AY172" activePane="bottomRight" state="frozen"/>
      <selection activeCell="I219" sqref="I219"/>
      <selection pane="topRight" activeCell="I219" sqref="I219"/>
      <selection pane="bottomLeft" activeCell="I219" sqref="I219"/>
      <selection pane="bottomRight" activeCell="T2" sqref="T2:Y2"/>
    </sheetView>
  </sheetViews>
  <sheetFormatPr defaultRowHeight="14.4" x14ac:dyDescent="0.3"/>
  <cols>
    <col min="2" max="2" width="12.33203125" style="6" customWidth="1"/>
    <col min="3" max="3" width="16.33203125" style="6" bestFit="1" customWidth="1"/>
    <col min="4" max="4" width="12.109375" style="6" customWidth="1"/>
    <col min="5" max="5" width="13.5546875" style="6" bestFit="1" customWidth="1"/>
    <col min="6" max="6" width="12.109375" style="6" customWidth="1"/>
    <col min="7" max="7" width="15.5546875" style="6" bestFit="1" customWidth="1"/>
    <col min="8" max="9" width="15.5546875" style="6" customWidth="1"/>
    <col min="10" max="10" width="14.44140625" style="6" bestFit="1" customWidth="1"/>
    <col min="11" max="11" width="15.44140625" bestFit="1" customWidth="1"/>
    <col min="12" max="12" width="9.33203125" customWidth="1"/>
    <col min="13" max="13" width="10.44140625" bestFit="1" customWidth="1"/>
    <col min="14" max="14" width="14.44140625" bestFit="1" customWidth="1"/>
    <col min="15" max="15" width="11.44140625" bestFit="1" customWidth="1"/>
    <col min="16" max="16" width="11.44140625" customWidth="1"/>
    <col min="17" max="18" width="13.109375" customWidth="1"/>
    <col min="19" max="19" width="12.6640625" customWidth="1"/>
    <col min="20" max="21" width="10.44140625" bestFit="1" customWidth="1"/>
  </cols>
  <sheetData>
    <row r="1" spans="1:25" x14ac:dyDescent="0.3">
      <c r="N1" s="62">
        <v>44170</v>
      </c>
    </row>
    <row r="2" spans="1:25" x14ac:dyDescent="0.3">
      <c r="A2" s="61" t="s">
        <v>0</v>
      </c>
      <c r="B2" s="61" t="s">
        <v>1</v>
      </c>
      <c r="C2" s="61" t="s">
        <v>2</v>
      </c>
      <c r="D2" s="61" t="s">
        <v>104</v>
      </c>
      <c r="E2" s="61" t="s">
        <v>100</v>
      </c>
      <c r="F2" s="61" t="s">
        <v>101</v>
      </c>
      <c r="G2" s="61" t="s">
        <v>102</v>
      </c>
      <c r="H2" s="61" t="s">
        <v>116</v>
      </c>
      <c r="I2" s="61" t="s">
        <v>117</v>
      </c>
      <c r="J2" s="61" t="s">
        <v>103</v>
      </c>
      <c r="K2" s="61" t="s">
        <v>158</v>
      </c>
      <c r="L2" s="61" t="s">
        <v>106</v>
      </c>
      <c r="M2" s="61" t="s">
        <v>99</v>
      </c>
      <c r="N2" s="61" t="s">
        <v>159</v>
      </c>
      <c r="O2" s="67" t="s">
        <v>97</v>
      </c>
      <c r="P2" s="67"/>
      <c r="Q2" s="66" t="s">
        <v>118</v>
      </c>
      <c r="R2" s="67"/>
      <c r="T2" s="67" t="s">
        <v>295</v>
      </c>
      <c r="U2" s="67" t="s">
        <v>296</v>
      </c>
      <c r="V2" s="67" t="s">
        <v>297</v>
      </c>
      <c r="W2" s="67" t="s">
        <v>298</v>
      </c>
      <c r="X2" s="67" t="s">
        <v>299</v>
      </c>
      <c r="Y2" s="67" t="s">
        <v>300</v>
      </c>
    </row>
    <row r="3" spans="1:25" x14ac:dyDescent="0.3">
      <c r="A3" s="51">
        <v>1</v>
      </c>
      <c r="B3" s="52" t="s">
        <v>41</v>
      </c>
      <c r="C3" s="53" t="s">
        <v>42</v>
      </c>
      <c r="D3" s="53" t="s">
        <v>105</v>
      </c>
      <c r="E3" s="56">
        <v>41496</v>
      </c>
      <c r="F3" s="64">
        <v>2</v>
      </c>
      <c r="G3" s="64">
        <v>288</v>
      </c>
      <c r="H3" s="64">
        <v>1600</v>
      </c>
      <c r="I3" s="63">
        <f t="shared" ref="I3:I21" si="0">H3/G3</f>
        <v>5.5555555555555554</v>
      </c>
      <c r="J3" s="58">
        <v>666</v>
      </c>
      <c r="K3" s="55">
        <v>43807</v>
      </c>
      <c r="L3" s="55" t="s">
        <v>157</v>
      </c>
      <c r="M3" s="99">
        <v>44170</v>
      </c>
      <c r="N3" s="81">
        <v>8.5</v>
      </c>
      <c r="O3" s="62">
        <f>(315-((N3*30)+5))+$N$1</f>
        <v>44225</v>
      </c>
      <c r="P3" s="62"/>
      <c r="Q3" s="79">
        <f>O3+280</f>
        <v>44505</v>
      </c>
      <c r="R3" s="80"/>
      <c r="S3" s="62">
        <f t="shared" ref="S3:S33" si="1">O3+390</f>
        <v>44615</v>
      </c>
      <c r="T3" s="62"/>
    </row>
    <row r="4" spans="1:25" x14ac:dyDescent="0.3">
      <c r="A4" s="51">
        <v>2</v>
      </c>
      <c r="B4" s="52" t="s">
        <v>37</v>
      </c>
      <c r="C4" s="53" t="s">
        <v>38</v>
      </c>
      <c r="D4" s="53" t="s">
        <v>109</v>
      </c>
      <c r="E4" s="56">
        <v>41558</v>
      </c>
      <c r="F4" s="64">
        <v>3</v>
      </c>
      <c r="G4" s="64">
        <v>273</v>
      </c>
      <c r="H4" s="64">
        <v>2121</v>
      </c>
      <c r="I4" s="63">
        <f t="shared" si="0"/>
        <v>7.7692307692307692</v>
      </c>
      <c r="J4" s="58">
        <v>610</v>
      </c>
      <c r="K4" s="55">
        <v>43816</v>
      </c>
      <c r="L4" s="55" t="s">
        <v>157</v>
      </c>
      <c r="M4" s="99">
        <v>44170</v>
      </c>
      <c r="N4" s="81">
        <v>8.5</v>
      </c>
      <c r="O4" s="62">
        <f t="shared" ref="O4:O31" si="2">(315-((N4*30)+5))+$N$1</f>
        <v>44225</v>
      </c>
      <c r="P4" s="62"/>
      <c r="Q4" s="79">
        <f t="shared" ref="Q4:Q33" si="3">O4+280</f>
        <v>44505</v>
      </c>
      <c r="R4" s="62"/>
      <c r="S4" s="62">
        <f t="shared" si="1"/>
        <v>44615</v>
      </c>
      <c r="T4" s="62"/>
    </row>
    <row r="5" spans="1:25" x14ac:dyDescent="0.3">
      <c r="A5" s="51">
        <v>3</v>
      </c>
      <c r="B5" s="52" t="s">
        <v>43</v>
      </c>
      <c r="C5" s="53" t="s">
        <v>44</v>
      </c>
      <c r="D5" s="53" t="s">
        <v>109</v>
      </c>
      <c r="E5" s="56">
        <v>40863</v>
      </c>
      <c r="F5" s="64">
        <v>3</v>
      </c>
      <c r="G5" s="64">
        <v>242</v>
      </c>
      <c r="H5" s="64">
        <v>1740</v>
      </c>
      <c r="I5" s="63">
        <f t="shared" si="0"/>
        <v>7.1900826446280988</v>
      </c>
      <c r="J5" s="58">
        <v>973</v>
      </c>
      <c r="K5" s="55">
        <v>43847</v>
      </c>
      <c r="L5" s="55" t="s">
        <v>157</v>
      </c>
      <c r="M5" s="99">
        <v>44170</v>
      </c>
      <c r="N5" s="81">
        <v>8.5</v>
      </c>
      <c r="O5" s="62">
        <f t="shared" si="2"/>
        <v>44225</v>
      </c>
      <c r="P5" s="62"/>
      <c r="Q5" s="79">
        <f t="shared" si="3"/>
        <v>44505</v>
      </c>
      <c r="S5" s="62">
        <f t="shared" si="1"/>
        <v>44615</v>
      </c>
      <c r="T5" s="62"/>
    </row>
    <row r="6" spans="1:25" x14ac:dyDescent="0.3">
      <c r="A6" s="51">
        <v>4</v>
      </c>
      <c r="B6" s="52" t="s">
        <v>114</v>
      </c>
      <c r="C6" s="53" t="s">
        <v>115</v>
      </c>
      <c r="D6" s="53" t="s">
        <v>109</v>
      </c>
      <c r="E6" s="56">
        <v>41491</v>
      </c>
      <c r="F6" s="64">
        <v>3</v>
      </c>
      <c r="G6" s="64">
        <v>291</v>
      </c>
      <c r="H6" s="64">
        <v>2237</v>
      </c>
      <c r="I6" s="63">
        <f t="shared" si="0"/>
        <v>7.6872852233676978</v>
      </c>
      <c r="J6" s="58">
        <v>814</v>
      </c>
      <c r="K6" s="55">
        <v>43811</v>
      </c>
      <c r="L6" s="55" t="s">
        <v>157</v>
      </c>
      <c r="M6" s="99">
        <v>44170</v>
      </c>
      <c r="N6" s="81">
        <v>8.5</v>
      </c>
      <c r="O6" s="62">
        <f t="shared" si="2"/>
        <v>44225</v>
      </c>
      <c r="P6" s="62"/>
      <c r="Q6" s="79">
        <f t="shared" si="3"/>
        <v>44505</v>
      </c>
      <c r="S6" s="62">
        <f t="shared" si="1"/>
        <v>44615</v>
      </c>
      <c r="T6" s="62"/>
    </row>
    <row r="7" spans="1:25" s="92" customFormat="1" x14ac:dyDescent="0.3">
      <c r="A7" s="51">
        <v>5</v>
      </c>
      <c r="B7" s="52" t="s">
        <v>29</v>
      </c>
      <c r="C7" s="53" t="s">
        <v>30</v>
      </c>
      <c r="D7" s="53" t="s">
        <v>109</v>
      </c>
      <c r="E7" s="56">
        <v>41249</v>
      </c>
      <c r="F7" s="64">
        <v>2</v>
      </c>
      <c r="G7" s="64">
        <v>273</v>
      </c>
      <c r="H7" s="64">
        <v>2095</v>
      </c>
      <c r="I7" s="63">
        <f t="shared" si="0"/>
        <v>7.6739926739926743</v>
      </c>
      <c r="J7" s="58">
        <v>620</v>
      </c>
      <c r="K7" s="55">
        <v>43815</v>
      </c>
      <c r="L7" s="55" t="s">
        <v>157</v>
      </c>
      <c r="M7" s="99">
        <v>44170</v>
      </c>
      <c r="N7" s="81">
        <v>8.5</v>
      </c>
      <c r="O7" s="62">
        <f t="shared" si="2"/>
        <v>44225</v>
      </c>
      <c r="P7" s="62"/>
      <c r="Q7" s="79">
        <f t="shared" si="3"/>
        <v>44505</v>
      </c>
      <c r="R7"/>
      <c r="S7" s="62">
        <f t="shared" si="1"/>
        <v>44615</v>
      </c>
      <c r="T7" s="90"/>
    </row>
    <row r="8" spans="1:25" x14ac:dyDescent="0.3">
      <c r="A8" s="51">
        <v>6</v>
      </c>
      <c r="B8" s="52" t="s">
        <v>11</v>
      </c>
      <c r="C8" s="53" t="s">
        <v>12</v>
      </c>
      <c r="D8" s="53" t="s">
        <v>105</v>
      </c>
      <c r="E8" s="56">
        <v>39459</v>
      </c>
      <c r="F8" s="64">
        <v>5</v>
      </c>
      <c r="G8" s="64">
        <v>283</v>
      </c>
      <c r="H8" s="64">
        <v>1906</v>
      </c>
      <c r="I8" s="63">
        <f t="shared" si="0"/>
        <v>6.7349823321554769</v>
      </c>
      <c r="J8" s="58">
        <v>970</v>
      </c>
      <c r="K8" s="55">
        <v>43807</v>
      </c>
      <c r="L8" s="55" t="s">
        <v>157</v>
      </c>
      <c r="M8" s="99">
        <v>44170</v>
      </c>
      <c r="N8" s="81">
        <v>8.5</v>
      </c>
      <c r="O8" s="62">
        <f t="shared" si="2"/>
        <v>44225</v>
      </c>
      <c r="P8" s="62"/>
      <c r="Q8" s="79">
        <f t="shared" si="3"/>
        <v>44505</v>
      </c>
      <c r="S8" s="62">
        <f t="shared" si="1"/>
        <v>44615</v>
      </c>
      <c r="T8" s="62"/>
    </row>
    <row r="9" spans="1:25" x14ac:dyDescent="0.3">
      <c r="A9" s="51">
        <v>7</v>
      </c>
      <c r="B9" s="52" t="s">
        <v>31</v>
      </c>
      <c r="C9" s="53" t="s">
        <v>32</v>
      </c>
      <c r="D9" s="53" t="s">
        <v>109</v>
      </c>
      <c r="E9" s="56">
        <v>39094</v>
      </c>
      <c r="F9" s="64">
        <v>3</v>
      </c>
      <c r="G9" s="64">
        <v>273</v>
      </c>
      <c r="H9" s="64">
        <v>2356</v>
      </c>
      <c r="I9" s="63">
        <f t="shared" si="0"/>
        <v>8.6300366300366296</v>
      </c>
      <c r="J9" s="58">
        <v>783</v>
      </c>
      <c r="K9" s="55">
        <v>43818</v>
      </c>
      <c r="L9" s="55" t="s">
        <v>157</v>
      </c>
      <c r="M9" s="99">
        <v>44170</v>
      </c>
      <c r="N9" s="81">
        <v>8.5</v>
      </c>
      <c r="O9" s="62">
        <f t="shared" si="2"/>
        <v>44225</v>
      </c>
      <c r="P9" s="62"/>
      <c r="Q9" s="79">
        <f t="shared" si="3"/>
        <v>44505</v>
      </c>
      <c r="S9" s="62">
        <f t="shared" si="1"/>
        <v>44615</v>
      </c>
      <c r="T9" s="62"/>
    </row>
    <row r="10" spans="1:25" x14ac:dyDescent="0.3">
      <c r="A10" s="51">
        <v>8</v>
      </c>
      <c r="B10" s="52" t="s">
        <v>49</v>
      </c>
      <c r="C10" s="53" t="s">
        <v>50</v>
      </c>
      <c r="D10" s="53" t="s">
        <v>109</v>
      </c>
      <c r="E10" s="56">
        <v>37029</v>
      </c>
      <c r="F10" s="64">
        <v>3</v>
      </c>
      <c r="G10" s="64">
        <v>183</v>
      </c>
      <c r="H10" s="64">
        <v>1192</v>
      </c>
      <c r="I10" s="63">
        <f t="shared" si="0"/>
        <v>6.5136612021857925</v>
      </c>
      <c r="J10" s="58">
        <v>1172</v>
      </c>
      <c r="K10" s="55">
        <v>43898</v>
      </c>
      <c r="L10" s="55" t="s">
        <v>157</v>
      </c>
      <c r="M10" s="99">
        <v>44170</v>
      </c>
      <c r="N10" s="81">
        <v>8.5</v>
      </c>
      <c r="O10" s="62">
        <f t="shared" si="2"/>
        <v>44225</v>
      </c>
      <c r="P10" s="62"/>
      <c r="Q10" s="79">
        <f t="shared" si="3"/>
        <v>44505</v>
      </c>
      <c r="S10" s="62">
        <f t="shared" si="1"/>
        <v>44615</v>
      </c>
      <c r="T10" s="62"/>
    </row>
    <row r="11" spans="1:25" x14ac:dyDescent="0.3">
      <c r="A11" s="51">
        <v>9</v>
      </c>
      <c r="B11" s="52" t="s">
        <v>55</v>
      </c>
      <c r="C11" s="53" t="s">
        <v>56</v>
      </c>
      <c r="D11" s="53" t="s">
        <v>109</v>
      </c>
      <c r="E11" s="56">
        <v>41106</v>
      </c>
      <c r="F11" s="64">
        <v>2</v>
      </c>
      <c r="G11" s="64">
        <v>286</v>
      </c>
      <c r="H11" s="64">
        <v>1822</v>
      </c>
      <c r="I11" s="63">
        <f t="shared" si="0"/>
        <v>6.3706293706293708</v>
      </c>
      <c r="J11" s="58">
        <v>703</v>
      </c>
      <c r="K11" s="55">
        <v>43834</v>
      </c>
      <c r="L11" s="55" t="s">
        <v>157</v>
      </c>
      <c r="M11" s="99">
        <v>44170</v>
      </c>
      <c r="N11" s="81">
        <v>8</v>
      </c>
      <c r="O11" s="62">
        <f t="shared" si="2"/>
        <v>44240</v>
      </c>
      <c r="P11" s="62"/>
      <c r="Q11" s="79">
        <f t="shared" si="3"/>
        <v>44520</v>
      </c>
      <c r="S11" s="62">
        <f t="shared" si="1"/>
        <v>44630</v>
      </c>
      <c r="T11" s="62"/>
    </row>
    <row r="12" spans="1:25" x14ac:dyDescent="0.3">
      <c r="A12" s="51">
        <v>10</v>
      </c>
      <c r="B12" s="52" t="s">
        <v>21</v>
      </c>
      <c r="C12" s="53" t="s">
        <v>22</v>
      </c>
      <c r="D12" s="53" t="s">
        <v>109</v>
      </c>
      <c r="E12" s="56">
        <v>41477</v>
      </c>
      <c r="F12" s="64">
        <v>2</v>
      </c>
      <c r="G12" s="64">
        <v>273</v>
      </c>
      <c r="H12" s="64">
        <v>2127</v>
      </c>
      <c r="I12" s="63">
        <f t="shared" si="0"/>
        <v>7.7912087912087911</v>
      </c>
      <c r="J12" s="58">
        <v>665</v>
      </c>
      <c r="K12" s="55">
        <v>43804</v>
      </c>
      <c r="L12" s="55" t="s">
        <v>157</v>
      </c>
      <c r="M12" s="99">
        <v>44170</v>
      </c>
      <c r="N12" s="81">
        <v>8</v>
      </c>
      <c r="O12" s="62">
        <f t="shared" si="2"/>
        <v>44240</v>
      </c>
      <c r="P12" s="62"/>
      <c r="Q12" s="79">
        <f t="shared" si="3"/>
        <v>44520</v>
      </c>
      <c r="S12" s="62">
        <f t="shared" si="1"/>
        <v>44630</v>
      </c>
      <c r="T12" s="62"/>
    </row>
    <row r="13" spans="1:25" x14ac:dyDescent="0.3">
      <c r="A13" s="51">
        <v>11</v>
      </c>
      <c r="B13" s="52" t="s">
        <v>112</v>
      </c>
      <c r="C13" s="53" t="s">
        <v>46</v>
      </c>
      <c r="D13" s="53" t="s">
        <v>113</v>
      </c>
      <c r="E13" s="56">
        <v>40676</v>
      </c>
      <c r="F13" s="64">
        <v>6</v>
      </c>
      <c r="G13" s="64">
        <v>272</v>
      </c>
      <c r="H13" s="64">
        <v>2335</v>
      </c>
      <c r="I13" s="63">
        <f t="shared" si="0"/>
        <v>8.5845588235294112</v>
      </c>
      <c r="J13" s="58">
        <v>646</v>
      </c>
      <c r="K13" s="55">
        <v>43812</v>
      </c>
      <c r="L13" s="55" t="s">
        <v>157</v>
      </c>
      <c r="M13" s="99">
        <v>44170</v>
      </c>
      <c r="N13" s="81">
        <v>8</v>
      </c>
      <c r="O13" s="62">
        <f t="shared" si="2"/>
        <v>44240</v>
      </c>
      <c r="P13" s="62"/>
      <c r="Q13" s="79">
        <f t="shared" si="3"/>
        <v>44520</v>
      </c>
      <c r="S13" s="62">
        <f t="shared" si="1"/>
        <v>44630</v>
      </c>
      <c r="T13" s="62"/>
    </row>
    <row r="14" spans="1:25" x14ac:dyDescent="0.3">
      <c r="A14" s="51">
        <v>12</v>
      </c>
      <c r="B14" s="52" t="s">
        <v>67</v>
      </c>
      <c r="C14" s="53" t="s">
        <v>68</v>
      </c>
      <c r="D14" s="53" t="s">
        <v>108</v>
      </c>
      <c r="E14" s="56">
        <v>40765</v>
      </c>
      <c r="F14" s="64">
        <v>6</v>
      </c>
      <c r="G14" s="64">
        <v>214</v>
      </c>
      <c r="H14" s="64">
        <v>1924</v>
      </c>
      <c r="I14" s="63">
        <f t="shared" si="0"/>
        <v>8.990654205607477</v>
      </c>
      <c r="J14" s="58">
        <v>373</v>
      </c>
      <c r="K14" s="55">
        <v>43866</v>
      </c>
      <c r="L14" s="55" t="s">
        <v>157</v>
      </c>
      <c r="M14" s="99">
        <v>44170</v>
      </c>
      <c r="N14" s="81">
        <v>8</v>
      </c>
      <c r="O14" s="62">
        <f t="shared" si="2"/>
        <v>44240</v>
      </c>
      <c r="P14" s="62"/>
      <c r="Q14" s="79">
        <f t="shared" si="3"/>
        <v>44520</v>
      </c>
      <c r="S14" s="62">
        <f t="shared" si="1"/>
        <v>44630</v>
      </c>
      <c r="T14" s="62"/>
    </row>
    <row r="15" spans="1:25" x14ac:dyDescent="0.3">
      <c r="A15" s="51">
        <v>13</v>
      </c>
      <c r="B15" s="52" t="s">
        <v>19</v>
      </c>
      <c r="C15" s="53" t="s">
        <v>20</v>
      </c>
      <c r="D15" s="53" t="s">
        <v>109</v>
      </c>
      <c r="E15" s="56">
        <v>41010</v>
      </c>
      <c r="F15" s="64">
        <v>3</v>
      </c>
      <c r="G15" s="64">
        <v>290</v>
      </c>
      <c r="H15" s="64">
        <v>2145</v>
      </c>
      <c r="I15" s="63">
        <f t="shared" si="0"/>
        <v>7.3965517241379306</v>
      </c>
      <c r="J15" s="58">
        <v>541</v>
      </c>
      <c r="K15" s="55">
        <v>43804</v>
      </c>
      <c r="L15" s="55" t="s">
        <v>157</v>
      </c>
      <c r="M15" s="99">
        <v>44170</v>
      </c>
      <c r="N15" s="81">
        <v>7.5</v>
      </c>
      <c r="O15" s="62">
        <f t="shared" si="2"/>
        <v>44255</v>
      </c>
      <c r="P15" s="62"/>
      <c r="Q15" s="79">
        <f t="shared" si="3"/>
        <v>44535</v>
      </c>
      <c r="S15" s="62">
        <f t="shared" si="1"/>
        <v>44645</v>
      </c>
      <c r="T15" s="62"/>
    </row>
    <row r="16" spans="1:25" x14ac:dyDescent="0.3">
      <c r="A16" s="51">
        <v>14</v>
      </c>
      <c r="B16" s="52" t="s">
        <v>63</v>
      </c>
      <c r="C16" s="53" t="s">
        <v>64</v>
      </c>
      <c r="D16" s="53" t="s">
        <v>109</v>
      </c>
      <c r="E16" s="56">
        <v>41183</v>
      </c>
      <c r="F16" s="64">
        <v>2</v>
      </c>
      <c r="G16" s="64">
        <v>272</v>
      </c>
      <c r="H16" s="64">
        <v>2363</v>
      </c>
      <c r="I16" s="63">
        <f t="shared" si="0"/>
        <v>8.6875</v>
      </c>
      <c r="J16" s="58">
        <v>633</v>
      </c>
      <c r="K16" s="55">
        <v>43811</v>
      </c>
      <c r="L16" s="55" t="s">
        <v>157</v>
      </c>
      <c r="M16" s="99">
        <v>44170</v>
      </c>
      <c r="N16" s="81">
        <v>7.5</v>
      </c>
      <c r="O16" s="62">
        <f t="shared" si="2"/>
        <v>44255</v>
      </c>
      <c r="P16" s="62"/>
      <c r="Q16" s="79">
        <f t="shared" si="3"/>
        <v>44535</v>
      </c>
      <c r="S16" s="62">
        <f t="shared" si="1"/>
        <v>44645</v>
      </c>
      <c r="T16" s="62"/>
    </row>
    <row r="17" spans="1:20" x14ac:dyDescent="0.3">
      <c r="A17" s="51">
        <v>15</v>
      </c>
      <c r="B17" s="52" t="s">
        <v>47</v>
      </c>
      <c r="C17" s="53" t="s">
        <v>48</v>
      </c>
      <c r="D17" s="53" t="s">
        <v>109</v>
      </c>
      <c r="E17" s="56">
        <v>41156</v>
      </c>
      <c r="F17" s="64">
        <v>2</v>
      </c>
      <c r="G17" s="64">
        <v>273</v>
      </c>
      <c r="H17" s="64">
        <v>2113</v>
      </c>
      <c r="I17" s="63">
        <f t="shared" si="0"/>
        <v>7.73992673992674</v>
      </c>
      <c r="J17" s="58">
        <v>660</v>
      </c>
      <c r="K17" s="55">
        <v>43820</v>
      </c>
      <c r="L17" s="55" t="s">
        <v>157</v>
      </c>
      <c r="M17" s="99">
        <v>44170</v>
      </c>
      <c r="N17" s="81">
        <v>7.5</v>
      </c>
      <c r="O17" s="62">
        <f t="shared" si="2"/>
        <v>44255</v>
      </c>
      <c r="P17" s="62"/>
      <c r="Q17" s="79">
        <f t="shared" si="3"/>
        <v>44535</v>
      </c>
      <c r="S17" s="62">
        <f t="shared" si="1"/>
        <v>44645</v>
      </c>
      <c r="T17" s="62"/>
    </row>
    <row r="18" spans="1:20" x14ac:dyDescent="0.3">
      <c r="A18" s="51">
        <v>16</v>
      </c>
      <c r="B18" s="52" t="s">
        <v>27</v>
      </c>
      <c r="C18" s="53" t="s">
        <v>28</v>
      </c>
      <c r="D18" s="53" t="s">
        <v>109</v>
      </c>
      <c r="E18" s="56">
        <v>41526</v>
      </c>
      <c r="F18" s="64">
        <v>2</v>
      </c>
      <c r="G18" s="64">
        <v>228</v>
      </c>
      <c r="H18" s="64">
        <v>1960</v>
      </c>
      <c r="I18" s="63">
        <f t="shared" si="0"/>
        <v>8.5964912280701746</v>
      </c>
      <c r="J18" s="58">
        <v>695</v>
      </c>
      <c r="K18" s="55">
        <v>43860</v>
      </c>
      <c r="L18" s="55" t="s">
        <v>157</v>
      </c>
      <c r="M18" s="99">
        <v>44170</v>
      </c>
      <c r="N18" s="81">
        <v>7</v>
      </c>
      <c r="O18" s="62">
        <f t="shared" si="2"/>
        <v>44270</v>
      </c>
      <c r="P18" s="62"/>
      <c r="Q18" s="79">
        <f t="shared" si="3"/>
        <v>44550</v>
      </c>
      <c r="S18" s="62">
        <f t="shared" si="1"/>
        <v>44660</v>
      </c>
      <c r="T18" s="62"/>
    </row>
    <row r="19" spans="1:20" x14ac:dyDescent="0.3">
      <c r="A19" s="51">
        <v>17</v>
      </c>
      <c r="B19" s="52" t="s">
        <v>61</v>
      </c>
      <c r="C19" s="53" t="s">
        <v>62</v>
      </c>
      <c r="D19" s="53" t="s">
        <v>105</v>
      </c>
      <c r="E19" s="56">
        <v>40281</v>
      </c>
      <c r="F19" s="64">
        <v>6</v>
      </c>
      <c r="G19" s="64">
        <v>273</v>
      </c>
      <c r="H19" s="64">
        <v>2016</v>
      </c>
      <c r="I19" s="63">
        <f t="shared" si="0"/>
        <v>7.384615384615385</v>
      </c>
      <c r="J19" s="58">
        <v>530</v>
      </c>
      <c r="K19" s="55">
        <v>43809</v>
      </c>
      <c r="L19" s="55" t="s">
        <v>157</v>
      </c>
      <c r="M19" s="99">
        <v>44170</v>
      </c>
      <c r="N19" s="81">
        <v>7</v>
      </c>
      <c r="O19" s="62">
        <f t="shared" si="2"/>
        <v>44270</v>
      </c>
      <c r="P19" s="62"/>
      <c r="Q19" s="79">
        <f t="shared" si="3"/>
        <v>44550</v>
      </c>
      <c r="S19" s="62">
        <f t="shared" si="1"/>
        <v>44660</v>
      </c>
      <c r="T19" s="62"/>
    </row>
    <row r="20" spans="1:20" x14ac:dyDescent="0.3">
      <c r="A20" s="51">
        <v>18</v>
      </c>
      <c r="B20" s="52" t="s">
        <v>23</v>
      </c>
      <c r="C20" s="53" t="s">
        <v>26</v>
      </c>
      <c r="D20" s="53" t="s">
        <v>109</v>
      </c>
      <c r="E20" s="56">
        <v>41565</v>
      </c>
      <c r="F20" s="64">
        <v>2</v>
      </c>
      <c r="G20" s="64">
        <v>273</v>
      </c>
      <c r="H20" s="64">
        <v>2343</v>
      </c>
      <c r="I20" s="63">
        <f t="shared" si="0"/>
        <v>8.5824175824175821</v>
      </c>
      <c r="J20" s="58">
        <v>655</v>
      </c>
      <c r="K20" s="55">
        <v>43812</v>
      </c>
      <c r="L20" s="55" t="s">
        <v>157</v>
      </c>
      <c r="M20" s="99">
        <v>44170</v>
      </c>
      <c r="N20" s="81">
        <v>7</v>
      </c>
      <c r="O20" s="62">
        <f t="shared" si="2"/>
        <v>44270</v>
      </c>
      <c r="P20" s="62"/>
      <c r="Q20" s="79">
        <f t="shared" si="3"/>
        <v>44550</v>
      </c>
      <c r="S20" s="62">
        <f t="shared" si="1"/>
        <v>44660</v>
      </c>
      <c r="T20" s="62"/>
    </row>
    <row r="21" spans="1:20" x14ac:dyDescent="0.3">
      <c r="A21" s="51">
        <v>19</v>
      </c>
      <c r="B21" s="52" t="s">
        <v>59</v>
      </c>
      <c r="C21" s="53" t="s">
        <v>60</v>
      </c>
      <c r="D21" s="53" t="s">
        <v>109</v>
      </c>
      <c r="E21" s="56">
        <v>41719</v>
      </c>
      <c r="F21" s="64">
        <v>2</v>
      </c>
      <c r="G21" s="64">
        <v>273</v>
      </c>
      <c r="H21" s="64">
        <v>2517</v>
      </c>
      <c r="I21" s="63">
        <f t="shared" si="0"/>
        <v>9.219780219780219</v>
      </c>
      <c r="J21" s="58">
        <v>617</v>
      </c>
      <c r="K21" s="55">
        <v>43819</v>
      </c>
      <c r="L21" s="55" t="s">
        <v>157</v>
      </c>
      <c r="M21" s="99">
        <v>44170</v>
      </c>
      <c r="N21" s="81">
        <v>6.5</v>
      </c>
      <c r="O21" s="62">
        <f t="shared" si="2"/>
        <v>44285</v>
      </c>
      <c r="P21" s="62"/>
      <c r="Q21" s="79">
        <f t="shared" si="3"/>
        <v>44565</v>
      </c>
      <c r="S21" s="62">
        <f t="shared" si="1"/>
        <v>44675</v>
      </c>
      <c r="T21" s="62"/>
    </row>
    <row r="22" spans="1:20" x14ac:dyDescent="0.3">
      <c r="A22" s="51">
        <v>20</v>
      </c>
      <c r="B22" s="104">
        <v>120004</v>
      </c>
      <c r="C22" s="94"/>
      <c r="D22" s="94"/>
      <c r="E22" s="95">
        <v>43170</v>
      </c>
      <c r="F22" s="96"/>
      <c r="G22" s="96"/>
      <c r="H22" s="96"/>
      <c r="I22" s="97"/>
      <c r="J22" s="98"/>
      <c r="K22" s="99"/>
      <c r="L22" s="107" t="s">
        <v>157</v>
      </c>
      <c r="M22" s="99">
        <v>44170</v>
      </c>
      <c r="N22" s="82">
        <v>5</v>
      </c>
      <c r="O22" s="62">
        <f t="shared" si="2"/>
        <v>44330</v>
      </c>
      <c r="P22" s="62"/>
      <c r="Q22" s="79">
        <f t="shared" si="3"/>
        <v>44610</v>
      </c>
      <c r="S22" s="62">
        <f t="shared" si="1"/>
        <v>44720</v>
      </c>
      <c r="T22" s="62"/>
    </row>
    <row r="23" spans="1:20" x14ac:dyDescent="0.3">
      <c r="A23" s="51">
        <v>21</v>
      </c>
      <c r="B23" s="103" t="s">
        <v>164</v>
      </c>
      <c r="C23" s="94"/>
      <c r="D23" s="94"/>
      <c r="E23" s="95">
        <v>43170</v>
      </c>
      <c r="F23" s="96"/>
      <c r="G23" s="96"/>
      <c r="H23" s="96"/>
      <c r="I23" s="97"/>
      <c r="J23" s="98"/>
      <c r="K23" s="99"/>
      <c r="L23" s="107" t="s">
        <v>157</v>
      </c>
      <c r="M23" s="99">
        <v>44170</v>
      </c>
      <c r="N23" s="82">
        <v>5</v>
      </c>
      <c r="O23" s="62">
        <f t="shared" si="2"/>
        <v>44330</v>
      </c>
      <c r="P23" s="62"/>
      <c r="Q23" s="79">
        <f t="shared" si="3"/>
        <v>44610</v>
      </c>
      <c r="S23" s="62">
        <f t="shared" si="1"/>
        <v>44720</v>
      </c>
      <c r="T23" s="62"/>
    </row>
    <row r="24" spans="1:20" x14ac:dyDescent="0.3">
      <c r="A24" s="51">
        <v>22</v>
      </c>
      <c r="B24" s="52" t="s">
        <v>75</v>
      </c>
      <c r="C24" s="53" t="s">
        <v>76</v>
      </c>
      <c r="D24" s="53" t="s">
        <v>109</v>
      </c>
      <c r="E24" s="56">
        <v>41092</v>
      </c>
      <c r="F24" s="64">
        <v>3</v>
      </c>
      <c r="G24" s="64">
        <v>288</v>
      </c>
      <c r="H24" s="64">
        <v>1720</v>
      </c>
      <c r="I24" s="63">
        <f t="shared" ref="I24:I33" si="4">H24/G24</f>
        <v>5.9722222222222223</v>
      </c>
      <c r="J24" s="58">
        <v>387</v>
      </c>
      <c r="K24" s="55">
        <v>43658</v>
      </c>
      <c r="L24" s="55" t="s">
        <v>157</v>
      </c>
      <c r="M24" s="99">
        <v>44170</v>
      </c>
      <c r="N24" s="81">
        <v>5</v>
      </c>
      <c r="O24" s="62">
        <f t="shared" si="2"/>
        <v>44330</v>
      </c>
      <c r="P24" s="62"/>
      <c r="Q24" s="79">
        <f t="shared" si="3"/>
        <v>44610</v>
      </c>
      <c r="R24" s="80"/>
      <c r="S24" s="62">
        <f t="shared" si="1"/>
        <v>44720</v>
      </c>
      <c r="T24" s="62"/>
    </row>
    <row r="25" spans="1:20" x14ac:dyDescent="0.3">
      <c r="A25" s="51">
        <v>23</v>
      </c>
      <c r="B25" s="52" t="s">
        <v>73</v>
      </c>
      <c r="C25" s="53" t="s">
        <v>74</v>
      </c>
      <c r="D25" s="53" t="s">
        <v>108</v>
      </c>
      <c r="E25" s="56">
        <v>41463</v>
      </c>
      <c r="F25" s="64">
        <v>2</v>
      </c>
      <c r="G25" s="64">
        <v>153</v>
      </c>
      <c r="H25" s="64">
        <v>1078</v>
      </c>
      <c r="I25" s="63">
        <f t="shared" si="4"/>
        <v>7.0457516339869279</v>
      </c>
      <c r="J25" s="58">
        <v>730</v>
      </c>
      <c r="K25" s="55">
        <v>43941</v>
      </c>
      <c r="L25" s="55" t="s">
        <v>157</v>
      </c>
      <c r="M25" s="99">
        <v>44170</v>
      </c>
      <c r="N25" s="81">
        <v>5</v>
      </c>
      <c r="O25" s="62">
        <f t="shared" si="2"/>
        <v>44330</v>
      </c>
      <c r="P25" s="62"/>
      <c r="Q25" s="79">
        <f t="shared" si="3"/>
        <v>44610</v>
      </c>
      <c r="R25" s="80"/>
      <c r="S25" s="62">
        <f t="shared" si="1"/>
        <v>44720</v>
      </c>
      <c r="T25" s="62"/>
    </row>
    <row r="26" spans="1:20" x14ac:dyDescent="0.3">
      <c r="A26" s="51">
        <v>24</v>
      </c>
      <c r="B26" s="52" t="s">
        <v>57</v>
      </c>
      <c r="C26" s="53" t="s">
        <v>58</v>
      </c>
      <c r="D26" s="53" t="s">
        <v>109</v>
      </c>
      <c r="E26" s="56">
        <v>41247</v>
      </c>
      <c r="F26" s="64">
        <v>2</v>
      </c>
      <c r="G26" s="64">
        <v>272</v>
      </c>
      <c r="H26" s="64">
        <v>2286</v>
      </c>
      <c r="I26" s="63">
        <f t="shared" si="4"/>
        <v>8.4044117647058822</v>
      </c>
      <c r="J26" s="58">
        <v>632</v>
      </c>
      <c r="K26" s="55">
        <v>43810</v>
      </c>
      <c r="L26" s="55" t="s">
        <v>157</v>
      </c>
      <c r="M26" s="99">
        <v>44170</v>
      </c>
      <c r="N26" s="91">
        <v>4.5</v>
      </c>
      <c r="O26" s="62">
        <f t="shared" si="2"/>
        <v>44345</v>
      </c>
      <c r="P26" s="62"/>
      <c r="Q26" s="79">
        <f t="shared" si="3"/>
        <v>44625</v>
      </c>
      <c r="S26" s="62">
        <f t="shared" si="1"/>
        <v>44735</v>
      </c>
      <c r="T26" s="62"/>
    </row>
    <row r="27" spans="1:20" x14ac:dyDescent="0.3">
      <c r="A27" s="51">
        <v>25</v>
      </c>
      <c r="B27" s="52" t="s">
        <v>65</v>
      </c>
      <c r="C27" s="53" t="s">
        <v>66</v>
      </c>
      <c r="D27" s="53" t="s">
        <v>105</v>
      </c>
      <c r="E27" s="56">
        <v>39323</v>
      </c>
      <c r="F27" s="64">
        <v>7</v>
      </c>
      <c r="G27" s="64">
        <v>153</v>
      </c>
      <c r="H27" s="64">
        <v>300</v>
      </c>
      <c r="I27" s="63">
        <f t="shared" si="4"/>
        <v>1.9607843137254901</v>
      </c>
      <c r="J27" s="58">
        <v>373</v>
      </c>
      <c r="K27" s="55">
        <v>43943</v>
      </c>
      <c r="L27" s="55" t="s">
        <v>157</v>
      </c>
      <c r="M27" s="99">
        <v>44170</v>
      </c>
      <c r="N27" s="81">
        <v>4</v>
      </c>
      <c r="O27" s="62">
        <f t="shared" si="2"/>
        <v>44360</v>
      </c>
      <c r="P27" s="62"/>
      <c r="Q27" s="79">
        <f t="shared" si="3"/>
        <v>44640</v>
      </c>
      <c r="S27" s="62">
        <f t="shared" si="1"/>
        <v>44750</v>
      </c>
      <c r="T27" s="62"/>
    </row>
    <row r="28" spans="1:20" x14ac:dyDescent="0.3">
      <c r="A28" s="51">
        <v>26</v>
      </c>
      <c r="B28" s="52" t="s">
        <v>138</v>
      </c>
      <c r="C28" s="53"/>
      <c r="D28" s="53" t="s">
        <v>109</v>
      </c>
      <c r="E28" s="56">
        <v>41556</v>
      </c>
      <c r="F28" s="64">
        <v>1</v>
      </c>
      <c r="G28" s="64">
        <v>173</v>
      </c>
      <c r="H28" s="64">
        <v>1338</v>
      </c>
      <c r="I28" s="63">
        <f t="shared" si="4"/>
        <v>7.7341040462427744</v>
      </c>
      <c r="J28" s="58">
        <v>2360</v>
      </c>
      <c r="K28" s="55">
        <v>43917</v>
      </c>
      <c r="L28" s="55" t="s">
        <v>157</v>
      </c>
      <c r="M28" s="99">
        <v>44170</v>
      </c>
      <c r="N28" s="81">
        <v>4</v>
      </c>
      <c r="O28" s="62">
        <f t="shared" si="2"/>
        <v>44360</v>
      </c>
      <c r="P28" s="62"/>
      <c r="Q28" s="79">
        <f t="shared" si="3"/>
        <v>44640</v>
      </c>
      <c r="R28" s="92"/>
      <c r="S28" s="62">
        <f t="shared" si="1"/>
        <v>44750</v>
      </c>
      <c r="T28" s="62"/>
    </row>
    <row r="29" spans="1:20" x14ac:dyDescent="0.3">
      <c r="A29" s="51">
        <v>27</v>
      </c>
      <c r="B29" s="52" t="s">
        <v>51</v>
      </c>
      <c r="C29" s="53" t="s">
        <v>107</v>
      </c>
      <c r="D29" s="53" t="s">
        <v>108</v>
      </c>
      <c r="E29" s="56">
        <v>39464</v>
      </c>
      <c r="F29" s="64">
        <v>6</v>
      </c>
      <c r="G29" s="64">
        <v>262</v>
      </c>
      <c r="H29" s="64">
        <v>1825</v>
      </c>
      <c r="I29" s="63">
        <f t="shared" si="4"/>
        <v>6.9656488549618318</v>
      </c>
      <c r="J29" s="58">
        <v>535</v>
      </c>
      <c r="K29" s="55">
        <v>43838</v>
      </c>
      <c r="L29" s="55" t="s">
        <v>157</v>
      </c>
      <c r="M29" s="99">
        <v>44170</v>
      </c>
      <c r="N29" s="81">
        <v>3</v>
      </c>
      <c r="O29" s="62">
        <f t="shared" si="2"/>
        <v>44390</v>
      </c>
      <c r="P29" s="62"/>
      <c r="Q29" s="79">
        <f t="shared" si="3"/>
        <v>44670</v>
      </c>
      <c r="S29" s="62">
        <f t="shared" si="1"/>
        <v>44780</v>
      </c>
      <c r="T29" s="62"/>
    </row>
    <row r="30" spans="1:20" x14ac:dyDescent="0.3">
      <c r="A30" s="51">
        <v>28</v>
      </c>
      <c r="B30" s="52" t="s">
        <v>133</v>
      </c>
      <c r="C30" s="53"/>
      <c r="D30" s="53" t="s">
        <v>109</v>
      </c>
      <c r="E30" s="56">
        <v>41319</v>
      </c>
      <c r="F30" s="64">
        <v>1</v>
      </c>
      <c r="G30" s="64">
        <v>214</v>
      </c>
      <c r="H30" s="64">
        <v>1497</v>
      </c>
      <c r="I30" s="63">
        <f t="shared" si="4"/>
        <v>6.9953271028037385</v>
      </c>
      <c r="J30" s="58">
        <v>2929</v>
      </c>
      <c r="K30" s="55">
        <v>43884</v>
      </c>
      <c r="L30" s="55" t="s">
        <v>157</v>
      </c>
      <c r="M30" s="99">
        <v>44170</v>
      </c>
      <c r="N30" s="81">
        <v>2</v>
      </c>
      <c r="O30" s="62">
        <f t="shared" si="2"/>
        <v>44420</v>
      </c>
      <c r="P30" s="62"/>
      <c r="Q30" s="79">
        <f t="shared" si="3"/>
        <v>44700</v>
      </c>
      <c r="S30" s="62">
        <f t="shared" si="1"/>
        <v>44810</v>
      </c>
      <c r="T30" s="62"/>
    </row>
    <row r="31" spans="1:20" x14ac:dyDescent="0.3">
      <c r="A31" s="51">
        <v>29</v>
      </c>
      <c r="B31" s="51">
        <v>14012</v>
      </c>
      <c r="C31" s="100" t="s">
        <v>161</v>
      </c>
      <c r="D31" s="53" t="s">
        <v>109</v>
      </c>
      <c r="E31" s="56">
        <v>41761</v>
      </c>
      <c r="F31" s="64">
        <v>1</v>
      </c>
      <c r="G31" s="86">
        <v>153</v>
      </c>
      <c r="H31" s="102">
        <v>1604</v>
      </c>
      <c r="I31" s="63">
        <f t="shared" si="4"/>
        <v>10.483660130718954</v>
      </c>
      <c r="J31" s="59">
        <v>2101</v>
      </c>
      <c r="K31" s="55">
        <v>43883</v>
      </c>
      <c r="L31" s="55" t="s">
        <v>157</v>
      </c>
      <c r="M31" s="99">
        <v>44170</v>
      </c>
      <c r="N31" s="81">
        <v>1.5</v>
      </c>
      <c r="O31" s="62">
        <f t="shared" si="2"/>
        <v>44435</v>
      </c>
      <c r="P31" s="62"/>
      <c r="Q31" s="79">
        <f t="shared" si="3"/>
        <v>44715</v>
      </c>
      <c r="S31" s="62">
        <f t="shared" si="1"/>
        <v>44825</v>
      </c>
      <c r="T31" s="62"/>
    </row>
    <row r="32" spans="1:20" x14ac:dyDescent="0.3">
      <c r="A32" s="51">
        <v>30</v>
      </c>
      <c r="B32" s="52" t="s">
        <v>3</v>
      </c>
      <c r="C32" s="53" t="s">
        <v>4</v>
      </c>
      <c r="D32" s="53" t="s">
        <v>105</v>
      </c>
      <c r="E32" s="56">
        <v>41524</v>
      </c>
      <c r="F32" s="64">
        <v>2</v>
      </c>
      <c r="G32" s="64">
        <v>238</v>
      </c>
      <c r="H32" s="64">
        <v>1294</v>
      </c>
      <c r="I32" s="63">
        <f t="shared" si="4"/>
        <v>5.4369747899159666</v>
      </c>
      <c r="J32" s="58">
        <v>1419</v>
      </c>
      <c r="K32" s="55">
        <v>44176</v>
      </c>
      <c r="L32" s="55" t="s">
        <v>160</v>
      </c>
      <c r="M32" s="99"/>
      <c r="N32" s="81">
        <v>0</v>
      </c>
      <c r="O32" s="62"/>
      <c r="P32" s="62"/>
      <c r="Q32" s="79">
        <f t="shared" si="3"/>
        <v>280</v>
      </c>
      <c r="S32" s="62">
        <f t="shared" si="1"/>
        <v>390</v>
      </c>
      <c r="T32" s="62"/>
    </row>
    <row r="33" spans="1:21" x14ac:dyDescent="0.3">
      <c r="A33" s="51">
        <v>31</v>
      </c>
      <c r="B33" s="52" t="s">
        <v>24</v>
      </c>
      <c r="C33" s="53" t="s">
        <v>25</v>
      </c>
      <c r="D33" s="53" t="s">
        <v>105</v>
      </c>
      <c r="E33" s="56">
        <v>41496</v>
      </c>
      <c r="F33" s="64">
        <v>3</v>
      </c>
      <c r="G33" s="64">
        <v>291</v>
      </c>
      <c r="H33" s="64">
        <v>1880</v>
      </c>
      <c r="I33" s="63">
        <f t="shared" si="4"/>
        <v>6.4604810996563575</v>
      </c>
      <c r="J33" s="58">
        <v>362</v>
      </c>
      <c r="K33" s="55">
        <v>44175</v>
      </c>
      <c r="L33" s="55" t="s">
        <v>160</v>
      </c>
      <c r="M33" s="99"/>
      <c r="N33" s="81">
        <v>0</v>
      </c>
      <c r="O33" s="62"/>
      <c r="P33" s="62"/>
      <c r="Q33" s="79">
        <f t="shared" si="3"/>
        <v>280</v>
      </c>
      <c r="S33" s="62">
        <f t="shared" si="1"/>
        <v>390</v>
      </c>
      <c r="T33" s="62"/>
    </row>
    <row r="34" spans="1:21" x14ac:dyDescent="0.3">
      <c r="A34" s="51">
        <v>32</v>
      </c>
      <c r="B34" s="104">
        <v>120002</v>
      </c>
      <c r="C34" s="94"/>
      <c r="D34" s="94"/>
      <c r="E34" s="95">
        <v>42191</v>
      </c>
      <c r="F34" s="96"/>
      <c r="G34" s="96"/>
      <c r="H34" s="96"/>
      <c r="I34" s="97"/>
      <c r="J34" s="98"/>
      <c r="K34" s="99">
        <v>44130</v>
      </c>
      <c r="L34" s="107" t="s">
        <v>160</v>
      </c>
      <c r="M34" s="99">
        <v>44170</v>
      </c>
      <c r="N34" s="82">
        <v>0</v>
      </c>
      <c r="O34" s="62"/>
      <c r="P34" s="62"/>
      <c r="Q34" s="79">
        <f>K34+280</f>
        <v>44410</v>
      </c>
      <c r="S34" s="62"/>
      <c r="T34" s="62"/>
      <c r="U34" s="62">
        <v>44226</v>
      </c>
    </row>
    <row r="35" spans="1:21" x14ac:dyDescent="0.3">
      <c r="A35" s="51">
        <v>33</v>
      </c>
      <c r="B35" s="103" t="s">
        <v>163</v>
      </c>
      <c r="C35" s="94"/>
      <c r="D35" s="94"/>
      <c r="E35" s="95">
        <v>42189</v>
      </c>
      <c r="F35" s="96"/>
      <c r="G35" s="96"/>
      <c r="H35" s="96"/>
      <c r="I35" s="97"/>
      <c r="J35" s="98"/>
      <c r="K35" s="99">
        <v>44109</v>
      </c>
      <c r="L35" s="107" t="s">
        <v>160</v>
      </c>
      <c r="M35" s="99">
        <v>44170</v>
      </c>
      <c r="N35" s="82">
        <v>0</v>
      </c>
      <c r="O35" s="62"/>
      <c r="P35" s="62"/>
      <c r="Q35" s="79">
        <f t="shared" ref="Q35:Q51" si="5">K35+280</f>
        <v>44389</v>
      </c>
      <c r="S35" s="62"/>
      <c r="T35" s="62"/>
      <c r="U35" s="62">
        <v>44380</v>
      </c>
    </row>
    <row r="36" spans="1:21" x14ac:dyDescent="0.3">
      <c r="A36" s="51">
        <v>34</v>
      </c>
      <c r="B36" s="52" t="s">
        <v>14</v>
      </c>
      <c r="C36" s="53" t="s">
        <v>13</v>
      </c>
      <c r="D36" s="53" t="s">
        <v>109</v>
      </c>
      <c r="E36" s="56">
        <v>39368</v>
      </c>
      <c r="F36" s="64">
        <v>6</v>
      </c>
      <c r="G36" s="64">
        <v>0</v>
      </c>
      <c r="H36" s="64"/>
      <c r="I36" s="63">
        <v>0</v>
      </c>
      <c r="J36" s="58">
        <v>470</v>
      </c>
      <c r="K36" s="55">
        <v>44137</v>
      </c>
      <c r="L36" s="55" t="s">
        <v>160</v>
      </c>
      <c r="M36" s="99">
        <v>44170</v>
      </c>
      <c r="N36" s="81">
        <v>0</v>
      </c>
      <c r="O36" s="62"/>
      <c r="P36" s="62"/>
      <c r="Q36" s="79">
        <f t="shared" si="5"/>
        <v>44417</v>
      </c>
      <c r="R36" s="80"/>
      <c r="S36" s="62">
        <f t="shared" ref="S36:S41" si="6">M36+420</f>
        <v>44590</v>
      </c>
      <c r="T36" s="62"/>
      <c r="U36" s="62">
        <v>44499</v>
      </c>
    </row>
    <row r="37" spans="1:21" x14ac:dyDescent="0.3">
      <c r="A37" s="51">
        <v>35</v>
      </c>
      <c r="B37" s="52" t="s">
        <v>88</v>
      </c>
      <c r="C37" s="53" t="s">
        <v>89</v>
      </c>
      <c r="D37" s="60" t="s">
        <v>105</v>
      </c>
      <c r="E37" s="56">
        <v>41072</v>
      </c>
      <c r="F37" s="64">
        <v>6</v>
      </c>
      <c r="G37" s="64">
        <v>259</v>
      </c>
      <c r="H37" s="64">
        <v>1546</v>
      </c>
      <c r="I37" s="63">
        <f t="shared" ref="I37:I46" si="7">H37/G37</f>
        <v>5.9691119691119692</v>
      </c>
      <c r="J37" s="58">
        <v>372</v>
      </c>
      <c r="K37" s="55">
        <v>44156</v>
      </c>
      <c r="L37" s="55" t="s">
        <v>160</v>
      </c>
      <c r="M37" s="99">
        <v>44170</v>
      </c>
      <c r="N37" s="81">
        <v>0</v>
      </c>
      <c r="O37" s="62"/>
      <c r="P37" s="62"/>
      <c r="Q37" s="79">
        <f t="shared" si="5"/>
        <v>44436</v>
      </c>
      <c r="R37" s="80"/>
      <c r="S37" s="62">
        <f t="shared" si="6"/>
        <v>44590</v>
      </c>
      <c r="T37" s="62"/>
      <c r="U37" s="62">
        <v>44520</v>
      </c>
    </row>
    <row r="38" spans="1:21" x14ac:dyDescent="0.3">
      <c r="A38" s="51">
        <v>36</v>
      </c>
      <c r="B38" s="52" t="s">
        <v>35</v>
      </c>
      <c r="C38" s="53" t="s">
        <v>36</v>
      </c>
      <c r="D38" s="53" t="s">
        <v>105</v>
      </c>
      <c r="E38" s="56">
        <v>41009</v>
      </c>
      <c r="F38" s="64">
        <v>6</v>
      </c>
      <c r="G38" s="64">
        <v>273</v>
      </c>
      <c r="H38" s="64">
        <v>1847</v>
      </c>
      <c r="I38" s="63">
        <f t="shared" si="7"/>
        <v>6.7655677655677655</v>
      </c>
      <c r="J38" s="58">
        <v>343</v>
      </c>
      <c r="K38" s="55">
        <v>44162</v>
      </c>
      <c r="L38" s="55" t="s">
        <v>160</v>
      </c>
      <c r="M38" s="99">
        <v>44170</v>
      </c>
      <c r="N38" s="81">
        <v>0</v>
      </c>
      <c r="O38" s="62"/>
      <c r="P38" s="62"/>
      <c r="Q38" s="79">
        <f t="shared" si="5"/>
        <v>44442</v>
      </c>
      <c r="S38" s="62">
        <f t="shared" si="6"/>
        <v>44590</v>
      </c>
      <c r="T38" s="62"/>
      <c r="U38" s="62">
        <v>44527</v>
      </c>
    </row>
    <row r="39" spans="1:21" x14ac:dyDescent="0.3">
      <c r="A39" s="51">
        <v>37</v>
      </c>
      <c r="B39" s="52" t="s">
        <v>79</v>
      </c>
      <c r="C39" s="53" t="s">
        <v>80</v>
      </c>
      <c r="D39" s="53" t="s">
        <v>105</v>
      </c>
      <c r="E39" s="56">
        <v>39290</v>
      </c>
      <c r="F39" s="64">
        <v>7</v>
      </c>
      <c r="G39" s="64">
        <v>283</v>
      </c>
      <c r="H39" s="64">
        <v>2022</v>
      </c>
      <c r="I39" s="63">
        <f t="shared" si="7"/>
        <v>7.1448763250883394</v>
      </c>
      <c r="J39" s="58">
        <v>536</v>
      </c>
      <c r="K39" s="55">
        <v>44161</v>
      </c>
      <c r="L39" s="55" t="s">
        <v>160</v>
      </c>
      <c r="M39" s="99">
        <v>44170</v>
      </c>
      <c r="N39" s="81">
        <v>0</v>
      </c>
      <c r="O39" s="62"/>
      <c r="P39" s="62"/>
      <c r="Q39" s="79">
        <f t="shared" si="5"/>
        <v>44441</v>
      </c>
      <c r="S39" s="62">
        <f t="shared" si="6"/>
        <v>44590</v>
      </c>
      <c r="T39" s="62"/>
      <c r="U39" s="62">
        <v>44534</v>
      </c>
    </row>
    <row r="40" spans="1:21" x14ac:dyDescent="0.3">
      <c r="A40" s="51">
        <v>38</v>
      </c>
      <c r="B40" s="52" t="s">
        <v>15</v>
      </c>
      <c r="C40" s="53" t="s">
        <v>16</v>
      </c>
      <c r="D40" s="53" t="s">
        <v>109</v>
      </c>
      <c r="E40" s="56">
        <v>39670</v>
      </c>
      <c r="F40" s="64">
        <v>6</v>
      </c>
      <c r="G40" s="64">
        <v>273</v>
      </c>
      <c r="H40" s="64">
        <v>2316</v>
      </c>
      <c r="I40" s="63">
        <f t="shared" si="7"/>
        <v>8.4835164835164836</v>
      </c>
      <c r="J40" s="58">
        <v>522</v>
      </c>
      <c r="K40" s="55">
        <v>44175</v>
      </c>
      <c r="L40" s="55" t="s">
        <v>160</v>
      </c>
      <c r="M40" s="99"/>
      <c r="N40" s="81">
        <v>0</v>
      </c>
      <c r="O40" s="62"/>
      <c r="P40" s="62"/>
      <c r="Q40" s="79">
        <f t="shared" si="5"/>
        <v>44455</v>
      </c>
      <c r="S40" s="62">
        <f t="shared" si="6"/>
        <v>420</v>
      </c>
      <c r="T40" s="62"/>
      <c r="U40" s="62">
        <v>44544</v>
      </c>
    </row>
    <row r="41" spans="1:21" x14ac:dyDescent="0.3">
      <c r="A41" s="51">
        <v>39</v>
      </c>
      <c r="B41" s="52" t="s">
        <v>33</v>
      </c>
      <c r="C41" s="53" t="s">
        <v>34</v>
      </c>
      <c r="D41" s="53" t="s">
        <v>105</v>
      </c>
      <c r="E41" s="56">
        <v>39613</v>
      </c>
      <c r="F41" s="64">
        <v>7</v>
      </c>
      <c r="G41" s="64">
        <v>288</v>
      </c>
      <c r="H41" s="64">
        <v>1993</v>
      </c>
      <c r="I41" s="63">
        <f t="shared" si="7"/>
        <v>6.9201388888888893</v>
      </c>
      <c r="J41" s="58">
        <v>482</v>
      </c>
      <c r="K41" s="55">
        <v>44168</v>
      </c>
      <c r="L41" s="55" t="s">
        <v>160</v>
      </c>
      <c r="M41" s="99">
        <v>44170</v>
      </c>
      <c r="N41" s="81">
        <v>0</v>
      </c>
      <c r="O41" s="62"/>
      <c r="P41" s="62"/>
      <c r="Q41" s="79">
        <f t="shared" si="5"/>
        <v>44448</v>
      </c>
      <c r="S41" s="62">
        <f t="shared" si="6"/>
        <v>44590</v>
      </c>
      <c r="T41" s="62"/>
      <c r="U41" s="62">
        <v>44546</v>
      </c>
    </row>
    <row r="42" spans="1:21" x14ac:dyDescent="0.3">
      <c r="A42" s="51">
        <v>40</v>
      </c>
      <c r="B42" s="52" t="s">
        <v>83</v>
      </c>
      <c r="C42" s="53" t="s">
        <v>84</v>
      </c>
      <c r="D42" s="53" t="s">
        <v>108</v>
      </c>
      <c r="E42" s="56">
        <v>41246</v>
      </c>
      <c r="F42" s="64">
        <v>3</v>
      </c>
      <c r="G42" s="64">
        <v>279</v>
      </c>
      <c r="H42" s="64">
        <v>2266</v>
      </c>
      <c r="I42" s="63">
        <f t="shared" si="7"/>
        <v>8.1218637992831546</v>
      </c>
      <c r="J42" s="58">
        <v>720</v>
      </c>
      <c r="K42" s="55">
        <v>44174</v>
      </c>
      <c r="L42" s="55" t="s">
        <v>160</v>
      </c>
      <c r="M42" s="99"/>
      <c r="N42" s="81">
        <v>0</v>
      </c>
      <c r="O42" s="62"/>
      <c r="P42" s="62"/>
      <c r="Q42" s="79">
        <f t="shared" si="5"/>
        <v>44454</v>
      </c>
      <c r="S42" s="62"/>
      <c r="T42" s="62"/>
      <c r="U42" s="62">
        <v>44551</v>
      </c>
    </row>
    <row r="43" spans="1:21" x14ac:dyDescent="0.3">
      <c r="A43" s="51">
        <v>41</v>
      </c>
      <c r="B43" s="83" t="s">
        <v>9</v>
      </c>
      <c r="C43" s="84" t="s">
        <v>10</v>
      </c>
      <c r="D43" s="84" t="s">
        <v>105</v>
      </c>
      <c r="E43" s="85">
        <v>38545</v>
      </c>
      <c r="F43" s="86">
        <v>8</v>
      </c>
      <c r="G43" s="86">
        <v>288</v>
      </c>
      <c r="H43" s="86">
        <v>2330</v>
      </c>
      <c r="I43" s="87">
        <f t="shared" si="7"/>
        <v>8.0902777777777786</v>
      </c>
      <c r="J43" s="88">
        <v>548</v>
      </c>
      <c r="K43" s="89">
        <v>44167</v>
      </c>
      <c r="L43" s="55" t="s">
        <v>160</v>
      </c>
      <c r="M43" s="99">
        <v>44170</v>
      </c>
      <c r="N43" s="81">
        <v>0</v>
      </c>
      <c r="O43" s="62"/>
      <c r="P43" s="62"/>
      <c r="Q43" s="79">
        <f t="shared" si="5"/>
        <v>44447</v>
      </c>
      <c r="S43" s="62">
        <f>M43+420</f>
        <v>44590</v>
      </c>
      <c r="T43" s="62"/>
      <c r="U43" s="62">
        <v>44552</v>
      </c>
    </row>
    <row r="44" spans="1:21" x14ac:dyDescent="0.3">
      <c r="A44" s="51">
        <v>42</v>
      </c>
      <c r="B44" s="52" t="s">
        <v>77</v>
      </c>
      <c r="C44" s="53" t="s">
        <v>78</v>
      </c>
      <c r="D44" s="53" t="s">
        <v>109</v>
      </c>
      <c r="E44" s="56">
        <v>41007</v>
      </c>
      <c r="F44" s="64">
        <v>5</v>
      </c>
      <c r="G44" s="64">
        <v>313</v>
      </c>
      <c r="H44" s="64">
        <v>2034</v>
      </c>
      <c r="I44" s="63">
        <f t="shared" si="7"/>
        <v>6.4984025559105429</v>
      </c>
      <c r="J44" s="58">
        <v>447</v>
      </c>
      <c r="K44" s="55">
        <v>44154</v>
      </c>
      <c r="L44" s="55" t="s">
        <v>160</v>
      </c>
      <c r="M44" s="99">
        <v>44170</v>
      </c>
      <c r="N44" s="81">
        <v>0</v>
      </c>
      <c r="O44" s="62"/>
      <c r="P44" s="62"/>
      <c r="Q44" s="79">
        <f t="shared" si="5"/>
        <v>44434</v>
      </c>
      <c r="S44" s="62"/>
      <c r="T44" s="62"/>
      <c r="U44" s="62">
        <v>44557</v>
      </c>
    </row>
    <row r="45" spans="1:21" x14ac:dyDescent="0.3">
      <c r="A45" s="51">
        <v>43</v>
      </c>
      <c r="B45" s="52" t="s">
        <v>81</v>
      </c>
      <c r="C45" s="53" t="s">
        <v>82</v>
      </c>
      <c r="D45" s="53" t="s">
        <v>109</v>
      </c>
      <c r="E45" s="56">
        <v>40230</v>
      </c>
      <c r="F45" s="64">
        <v>5</v>
      </c>
      <c r="G45" s="64">
        <v>293</v>
      </c>
      <c r="H45" s="64">
        <v>2878</v>
      </c>
      <c r="I45" s="63">
        <f t="shared" si="7"/>
        <v>9.8225255972696246</v>
      </c>
      <c r="J45" s="58">
        <v>585</v>
      </c>
      <c r="K45" s="55">
        <v>44144</v>
      </c>
      <c r="L45" s="55" t="s">
        <v>160</v>
      </c>
      <c r="M45" s="99">
        <v>44170</v>
      </c>
      <c r="N45" s="81"/>
      <c r="O45" s="62"/>
      <c r="P45" s="62"/>
      <c r="Q45" s="79">
        <f t="shared" si="5"/>
        <v>44424</v>
      </c>
      <c r="S45" s="62">
        <f t="shared" ref="S45:S51" si="8">M45+420</f>
        <v>44590</v>
      </c>
      <c r="T45" s="62"/>
      <c r="U45" s="62">
        <v>44558</v>
      </c>
    </row>
    <row r="46" spans="1:21" x14ac:dyDescent="0.3">
      <c r="A46" s="51">
        <v>44</v>
      </c>
      <c r="B46" s="52" t="s">
        <v>69</v>
      </c>
      <c r="C46" s="53" t="s">
        <v>70</v>
      </c>
      <c r="D46" s="53" t="s">
        <v>105</v>
      </c>
      <c r="E46" s="56">
        <v>41554</v>
      </c>
      <c r="F46" s="64">
        <v>2</v>
      </c>
      <c r="G46" s="64">
        <v>202</v>
      </c>
      <c r="H46" s="64">
        <v>1500</v>
      </c>
      <c r="I46" s="63">
        <f t="shared" si="7"/>
        <v>7.4257425742574261</v>
      </c>
      <c r="J46" s="58">
        <v>421</v>
      </c>
      <c r="K46" s="55">
        <v>43990</v>
      </c>
      <c r="L46" s="55" t="s">
        <v>160</v>
      </c>
      <c r="M46" s="99">
        <v>44170</v>
      </c>
      <c r="N46" s="81"/>
      <c r="O46" s="62"/>
      <c r="P46" s="62"/>
      <c r="Q46" s="79">
        <f t="shared" si="5"/>
        <v>44270</v>
      </c>
      <c r="S46" s="62">
        <f t="shared" si="8"/>
        <v>44590</v>
      </c>
      <c r="T46" s="62"/>
      <c r="U46" s="62">
        <v>44564</v>
      </c>
    </row>
    <row r="47" spans="1:21" x14ac:dyDescent="0.3">
      <c r="A47" s="51">
        <v>45</v>
      </c>
      <c r="B47" s="52" t="s">
        <v>136</v>
      </c>
      <c r="C47" s="53"/>
      <c r="D47" s="53" t="s">
        <v>109</v>
      </c>
      <c r="E47" s="56">
        <v>41431</v>
      </c>
      <c r="F47" s="64"/>
      <c r="G47" s="64"/>
      <c r="H47" s="64"/>
      <c r="I47" s="63"/>
      <c r="J47" s="58"/>
      <c r="K47" s="55"/>
      <c r="L47" s="55" t="s">
        <v>160</v>
      </c>
      <c r="M47" s="99">
        <v>44170</v>
      </c>
      <c r="N47" s="81">
        <v>0</v>
      </c>
      <c r="O47" s="62"/>
      <c r="P47" s="62"/>
      <c r="Q47" s="79">
        <f t="shared" si="5"/>
        <v>280</v>
      </c>
      <c r="S47" s="62">
        <f t="shared" si="8"/>
        <v>44590</v>
      </c>
      <c r="T47" s="62"/>
      <c r="U47" s="62">
        <v>44565</v>
      </c>
    </row>
    <row r="48" spans="1:21" x14ac:dyDescent="0.3">
      <c r="A48" s="51">
        <v>46</v>
      </c>
      <c r="B48" s="101" t="s">
        <v>5</v>
      </c>
      <c r="C48" s="84" t="s">
        <v>6</v>
      </c>
      <c r="D48" s="84" t="s">
        <v>109</v>
      </c>
      <c r="E48" s="85">
        <v>38393</v>
      </c>
      <c r="F48" s="86">
        <v>6</v>
      </c>
      <c r="G48" s="86">
        <v>259</v>
      </c>
      <c r="H48" s="86">
        <v>1385</v>
      </c>
      <c r="I48" s="87">
        <f>H48/G48</f>
        <v>5.3474903474903472</v>
      </c>
      <c r="J48" s="88">
        <v>952</v>
      </c>
      <c r="K48" s="89">
        <v>43836</v>
      </c>
      <c r="L48" s="89" t="s">
        <v>160</v>
      </c>
      <c r="M48" s="99">
        <v>44170</v>
      </c>
      <c r="N48" s="81">
        <v>0</v>
      </c>
      <c r="O48" s="62"/>
      <c r="P48" s="62"/>
      <c r="Q48" s="79">
        <f t="shared" si="5"/>
        <v>44116</v>
      </c>
      <c r="S48" s="62">
        <f t="shared" si="8"/>
        <v>44590</v>
      </c>
      <c r="T48" s="62"/>
      <c r="U48" s="62">
        <v>44565</v>
      </c>
    </row>
    <row r="49" spans="1:21" x14ac:dyDescent="0.3">
      <c r="A49" s="51">
        <v>47</v>
      </c>
      <c r="B49" s="52" t="s">
        <v>134</v>
      </c>
      <c r="C49" s="53"/>
      <c r="D49" s="53" t="s">
        <v>109</v>
      </c>
      <c r="E49" s="56">
        <v>41436</v>
      </c>
      <c r="F49" s="64">
        <v>1</v>
      </c>
      <c r="G49" s="64">
        <v>239</v>
      </c>
      <c r="H49" s="64">
        <v>1127</v>
      </c>
      <c r="I49" s="63">
        <f>H49/G49</f>
        <v>4.7154811715481175</v>
      </c>
      <c r="J49" s="58">
        <v>2385</v>
      </c>
      <c r="K49" s="55">
        <v>43855</v>
      </c>
      <c r="L49" s="55" t="s">
        <v>160</v>
      </c>
      <c r="M49" s="99">
        <v>44170</v>
      </c>
      <c r="N49" s="81">
        <v>0</v>
      </c>
      <c r="O49" s="62"/>
      <c r="P49" s="62"/>
      <c r="Q49" s="79">
        <f t="shared" si="5"/>
        <v>44135</v>
      </c>
      <c r="S49" s="62">
        <f t="shared" si="8"/>
        <v>44590</v>
      </c>
      <c r="T49" s="62"/>
      <c r="U49" s="62">
        <v>44566</v>
      </c>
    </row>
    <row r="50" spans="1:21" x14ac:dyDescent="0.3">
      <c r="A50" s="51">
        <v>48</v>
      </c>
      <c r="B50" s="113" t="s">
        <v>162</v>
      </c>
      <c r="C50" s="94"/>
      <c r="D50" s="94"/>
      <c r="E50" s="95">
        <v>42158</v>
      </c>
      <c r="F50" s="96"/>
      <c r="G50" s="96"/>
      <c r="H50" s="96"/>
      <c r="I50" s="97"/>
      <c r="J50" s="98"/>
      <c r="K50" s="99">
        <v>44179</v>
      </c>
      <c r="L50" s="99" t="s">
        <v>160</v>
      </c>
      <c r="M50" s="99"/>
      <c r="N50" s="82"/>
      <c r="O50" s="62"/>
      <c r="P50" s="62"/>
      <c r="Q50" s="79">
        <f t="shared" si="5"/>
        <v>44459</v>
      </c>
      <c r="S50" s="62">
        <f t="shared" si="8"/>
        <v>420</v>
      </c>
      <c r="T50" s="62"/>
      <c r="U50" s="62"/>
    </row>
    <row r="51" spans="1:21" x14ac:dyDescent="0.3">
      <c r="A51" s="51">
        <v>49</v>
      </c>
      <c r="B51" s="52" t="s">
        <v>71</v>
      </c>
      <c r="C51" s="53" t="s">
        <v>72</v>
      </c>
      <c r="D51" s="53" t="s">
        <v>109</v>
      </c>
      <c r="E51" s="56">
        <v>41464</v>
      </c>
      <c r="F51" s="64">
        <v>3</v>
      </c>
      <c r="G51" s="64">
        <v>214</v>
      </c>
      <c r="H51" s="64">
        <v>1755</v>
      </c>
      <c r="I51" s="63">
        <f>H51/G51</f>
        <v>8.2009345794392523</v>
      </c>
      <c r="J51" s="58">
        <v>586</v>
      </c>
      <c r="K51" s="55">
        <v>44185</v>
      </c>
      <c r="L51" s="55" t="s">
        <v>160</v>
      </c>
      <c r="M51" s="99"/>
      <c r="N51" s="81"/>
      <c r="O51" s="62"/>
      <c r="P51" s="62"/>
      <c r="Q51" s="79">
        <f t="shared" si="5"/>
        <v>44465</v>
      </c>
      <c r="S51" s="62">
        <f t="shared" si="8"/>
        <v>420</v>
      </c>
      <c r="T51" s="62"/>
    </row>
    <row r="52" spans="1:21" x14ac:dyDescent="0.3">
      <c r="A52" s="51">
        <v>50</v>
      </c>
      <c r="B52" s="51">
        <v>14003</v>
      </c>
      <c r="C52" s="50"/>
      <c r="D52" s="53" t="s">
        <v>109</v>
      </c>
      <c r="E52" s="56">
        <v>41655</v>
      </c>
      <c r="F52" s="50"/>
      <c r="G52" s="50"/>
      <c r="H52" s="50"/>
      <c r="I52" s="50"/>
      <c r="J52" s="59"/>
      <c r="K52" s="55"/>
      <c r="L52" s="55"/>
      <c r="M52" s="55"/>
      <c r="N52" s="81"/>
      <c r="O52" s="62"/>
      <c r="P52" s="62"/>
      <c r="S52" s="62"/>
    </row>
    <row r="53" spans="1:21" x14ac:dyDescent="0.3">
      <c r="A53" s="51">
        <v>51</v>
      </c>
      <c r="B53" s="51">
        <v>14006</v>
      </c>
      <c r="C53" s="50"/>
      <c r="D53" s="53" t="s">
        <v>109</v>
      </c>
      <c r="E53" s="56">
        <v>41728</v>
      </c>
      <c r="F53" s="50"/>
      <c r="G53" s="50"/>
      <c r="H53" s="50"/>
      <c r="I53" s="50"/>
      <c r="J53" s="59"/>
      <c r="K53" s="55"/>
      <c r="L53" s="55"/>
      <c r="M53" s="55"/>
      <c r="N53" s="81"/>
      <c r="O53" s="62"/>
      <c r="P53" s="62"/>
      <c r="T53" s="62"/>
    </row>
    <row r="54" spans="1:21" x14ac:dyDescent="0.3">
      <c r="A54" s="51">
        <v>52</v>
      </c>
      <c r="B54" s="51">
        <v>1883</v>
      </c>
      <c r="C54" s="50"/>
      <c r="D54" s="53" t="s">
        <v>109</v>
      </c>
      <c r="E54" s="56">
        <v>42020</v>
      </c>
      <c r="F54" s="50"/>
      <c r="G54" s="50"/>
      <c r="H54" s="50"/>
      <c r="I54" s="50"/>
      <c r="J54" s="59"/>
      <c r="K54" s="55"/>
      <c r="L54" s="55"/>
      <c r="M54" s="55"/>
      <c r="N54" s="81"/>
      <c r="O54" s="62"/>
      <c r="P54" s="62"/>
    </row>
    <row r="55" spans="1:21" x14ac:dyDescent="0.3">
      <c r="A55" s="51"/>
      <c r="B55" s="51"/>
      <c r="C55" s="50"/>
      <c r="D55" s="53"/>
      <c r="E55" s="56"/>
      <c r="F55" s="50"/>
      <c r="G55" s="50"/>
      <c r="H55" s="50"/>
      <c r="I55" s="50"/>
      <c r="J55" s="59"/>
      <c r="K55" s="55"/>
      <c r="L55" s="55"/>
      <c r="M55" s="55"/>
      <c r="N55" s="81"/>
      <c r="O55" s="62"/>
      <c r="P55" s="62"/>
    </row>
    <row r="56" spans="1:21" x14ac:dyDescent="0.3">
      <c r="A56" s="108" t="s">
        <v>166</v>
      </c>
      <c r="B56" s="51"/>
      <c r="C56" s="50"/>
      <c r="D56" s="53"/>
      <c r="E56" s="56"/>
      <c r="F56" s="50"/>
      <c r="G56" s="50"/>
      <c r="H56" s="50"/>
      <c r="I56" s="50"/>
      <c r="J56" s="59"/>
      <c r="K56" s="55"/>
      <c r="L56" s="55"/>
      <c r="M56" s="55"/>
      <c r="N56" s="81"/>
      <c r="O56" s="62"/>
      <c r="P56" s="62"/>
    </row>
    <row r="57" spans="1:21" x14ac:dyDescent="0.3">
      <c r="A57" s="51">
        <v>1</v>
      </c>
      <c r="B57" s="51">
        <v>777</v>
      </c>
      <c r="C57" s="50"/>
      <c r="D57" s="53" t="s">
        <v>109</v>
      </c>
      <c r="E57" s="56">
        <v>43141</v>
      </c>
      <c r="F57" s="50"/>
      <c r="G57" s="50"/>
      <c r="H57" s="50"/>
      <c r="I57" s="50"/>
      <c r="J57" s="59"/>
      <c r="K57" s="55"/>
      <c r="L57" s="55"/>
      <c r="M57" s="55"/>
      <c r="N57" s="81"/>
      <c r="O57" s="62"/>
      <c r="P57" s="62"/>
    </row>
    <row r="58" spans="1:21" x14ac:dyDescent="0.3">
      <c r="A58" s="51">
        <v>2</v>
      </c>
      <c r="B58" s="51">
        <v>779</v>
      </c>
      <c r="C58" s="50"/>
      <c r="D58" s="53" t="s">
        <v>108</v>
      </c>
      <c r="E58" s="56">
        <v>43166</v>
      </c>
      <c r="F58" s="50"/>
      <c r="G58" s="50"/>
      <c r="H58" s="50"/>
      <c r="I58" s="50"/>
      <c r="J58" s="59"/>
      <c r="K58" s="55"/>
      <c r="L58" s="55"/>
      <c r="M58" s="55"/>
      <c r="N58" s="81"/>
      <c r="O58" s="62"/>
      <c r="P58" s="62"/>
    </row>
    <row r="59" spans="1:21" x14ac:dyDescent="0.3">
      <c r="A59" s="51">
        <v>3</v>
      </c>
      <c r="B59" s="51">
        <v>780</v>
      </c>
      <c r="C59" s="50"/>
      <c r="D59" s="53" t="s">
        <v>109</v>
      </c>
      <c r="E59" s="56">
        <v>43178</v>
      </c>
      <c r="F59" s="50"/>
      <c r="G59" s="50"/>
      <c r="H59" s="50"/>
      <c r="I59" s="50"/>
      <c r="J59" s="59"/>
      <c r="K59" s="55"/>
      <c r="L59" s="55"/>
      <c r="M59" s="55"/>
      <c r="N59" s="81"/>
      <c r="O59" s="62"/>
      <c r="P59" s="62"/>
    </row>
    <row r="60" spans="1:21" x14ac:dyDescent="0.3">
      <c r="A60" s="51">
        <v>4</v>
      </c>
      <c r="B60" s="51">
        <v>782</v>
      </c>
      <c r="C60" s="50"/>
      <c r="D60" s="53" t="s">
        <v>109</v>
      </c>
      <c r="E60" s="56">
        <v>43187</v>
      </c>
      <c r="F60" s="50"/>
      <c r="G60" s="50"/>
      <c r="H60" s="50"/>
      <c r="I60" s="50"/>
      <c r="J60" s="59"/>
      <c r="K60" s="55"/>
      <c r="L60" s="55"/>
      <c r="M60" s="55"/>
      <c r="N60" s="81"/>
      <c r="O60" s="62"/>
      <c r="P60" s="62"/>
    </row>
    <row r="61" spans="1:21" x14ac:dyDescent="0.3">
      <c r="A61" s="51">
        <v>5</v>
      </c>
      <c r="B61" s="51">
        <v>783</v>
      </c>
      <c r="C61" s="50"/>
      <c r="D61" s="53" t="s">
        <v>109</v>
      </c>
      <c r="E61" s="56">
        <v>43192</v>
      </c>
      <c r="F61" s="50"/>
      <c r="G61" s="50"/>
      <c r="H61" s="50"/>
      <c r="I61" s="50"/>
      <c r="J61" s="59"/>
      <c r="K61" s="55"/>
      <c r="L61" s="55"/>
      <c r="M61" s="55"/>
      <c r="N61" s="81"/>
      <c r="O61" s="62"/>
      <c r="P61" s="62"/>
    </row>
    <row r="62" spans="1:21" x14ac:dyDescent="0.3">
      <c r="A62" s="51">
        <v>6</v>
      </c>
      <c r="B62" s="51">
        <v>785</v>
      </c>
      <c r="C62" s="50"/>
      <c r="D62" s="53" t="s">
        <v>109</v>
      </c>
      <c r="E62" s="56">
        <v>43240</v>
      </c>
      <c r="F62" s="50"/>
      <c r="G62" s="50"/>
      <c r="H62" s="50"/>
      <c r="I62" s="50"/>
      <c r="J62" s="59"/>
      <c r="K62" s="55"/>
      <c r="L62" s="55"/>
      <c r="M62" s="55"/>
      <c r="N62" s="81"/>
      <c r="O62" s="62"/>
      <c r="P62" s="62"/>
    </row>
    <row r="63" spans="1:21" x14ac:dyDescent="0.3">
      <c r="A63" s="51">
        <v>7</v>
      </c>
      <c r="B63" s="51">
        <v>786</v>
      </c>
      <c r="C63" s="50"/>
      <c r="D63" s="53" t="s">
        <v>109</v>
      </c>
      <c r="E63" s="56">
        <v>43240</v>
      </c>
      <c r="F63" s="50"/>
      <c r="G63" s="50"/>
      <c r="H63" s="50"/>
      <c r="I63" s="50"/>
      <c r="J63" s="59"/>
      <c r="K63" s="55"/>
      <c r="L63" s="55"/>
      <c r="M63" s="55"/>
      <c r="N63" s="81"/>
      <c r="O63" s="62"/>
      <c r="P63" s="62"/>
    </row>
    <row r="64" spans="1:21" x14ac:dyDescent="0.3">
      <c r="A64" s="51">
        <v>8</v>
      </c>
      <c r="B64" s="51">
        <v>790</v>
      </c>
      <c r="C64" s="50"/>
      <c r="D64" s="53" t="s">
        <v>109</v>
      </c>
      <c r="E64" s="56">
        <v>43271</v>
      </c>
      <c r="F64" s="50"/>
      <c r="G64" s="50"/>
      <c r="H64" s="50"/>
      <c r="I64" s="50"/>
      <c r="J64" s="59"/>
      <c r="K64" s="55"/>
      <c r="L64" s="55"/>
      <c r="M64" s="55"/>
      <c r="N64" s="81"/>
      <c r="O64" s="62"/>
      <c r="P64" s="62"/>
    </row>
    <row r="65" spans="1:16" x14ac:dyDescent="0.3">
      <c r="A65" s="51">
        <v>9</v>
      </c>
      <c r="B65" s="51">
        <v>796</v>
      </c>
      <c r="C65" s="50"/>
      <c r="D65" s="53" t="s">
        <v>109</v>
      </c>
      <c r="E65" s="56">
        <v>43507</v>
      </c>
      <c r="F65" s="50"/>
      <c r="G65" s="50"/>
      <c r="H65" s="50"/>
      <c r="I65" s="50"/>
      <c r="J65" s="59"/>
      <c r="K65" s="55"/>
      <c r="L65" s="55"/>
      <c r="M65" s="55"/>
      <c r="N65" s="81"/>
      <c r="O65" s="62"/>
      <c r="P65" s="62"/>
    </row>
    <row r="66" spans="1:16" x14ac:dyDescent="0.3">
      <c r="A66" s="51">
        <v>10</v>
      </c>
      <c r="B66" s="51">
        <v>797</v>
      </c>
      <c r="C66" s="50"/>
      <c r="D66" s="53" t="s">
        <v>108</v>
      </c>
      <c r="E66" s="56">
        <v>43559</v>
      </c>
      <c r="F66" s="50"/>
      <c r="G66" s="50"/>
      <c r="H66" s="50"/>
      <c r="I66" s="50"/>
      <c r="J66" s="59"/>
      <c r="K66" s="55"/>
      <c r="L66" s="55"/>
      <c r="M66" s="55"/>
      <c r="N66" s="81"/>
      <c r="O66" s="62"/>
      <c r="P66" s="62"/>
    </row>
    <row r="67" spans="1:16" x14ac:dyDescent="0.3">
      <c r="A67" s="51">
        <v>11</v>
      </c>
      <c r="B67" s="51">
        <v>799</v>
      </c>
      <c r="C67" s="50"/>
      <c r="D67" s="53" t="s">
        <v>108</v>
      </c>
      <c r="E67" s="56">
        <v>43559</v>
      </c>
      <c r="F67" s="50"/>
      <c r="G67" s="50"/>
      <c r="H67" s="50"/>
      <c r="I67" s="50"/>
      <c r="J67" s="59"/>
      <c r="K67" s="55"/>
      <c r="L67" s="55"/>
      <c r="M67" s="55"/>
      <c r="N67" s="81"/>
      <c r="O67" s="62"/>
      <c r="P67" s="62"/>
    </row>
    <row r="68" spans="1:16" x14ac:dyDescent="0.3">
      <c r="A68" s="51">
        <v>12</v>
      </c>
      <c r="B68" s="51">
        <v>800</v>
      </c>
      <c r="C68" s="50"/>
      <c r="D68" s="53" t="s">
        <v>109</v>
      </c>
      <c r="E68" s="56">
        <v>43584</v>
      </c>
      <c r="F68" s="50"/>
      <c r="G68" s="50"/>
      <c r="H68" s="50"/>
      <c r="I68" s="50"/>
      <c r="J68" s="59"/>
      <c r="K68" s="55"/>
      <c r="L68" s="55"/>
      <c r="M68" s="55"/>
      <c r="N68" s="81"/>
      <c r="O68" s="62"/>
      <c r="P68" s="62"/>
    </row>
    <row r="69" spans="1:16" x14ac:dyDescent="0.3">
      <c r="A69" s="51">
        <v>13</v>
      </c>
      <c r="B69" s="51">
        <v>801</v>
      </c>
      <c r="C69" s="50"/>
      <c r="D69" s="53" t="s">
        <v>109</v>
      </c>
      <c r="E69" s="56">
        <v>43624</v>
      </c>
      <c r="F69" s="50"/>
      <c r="G69" s="50"/>
      <c r="H69" s="50"/>
      <c r="I69" s="50"/>
      <c r="J69" s="59"/>
      <c r="K69" s="55"/>
      <c r="L69" s="55"/>
      <c r="M69" s="55"/>
      <c r="N69" s="81"/>
      <c r="O69" s="62"/>
      <c r="P69" s="62"/>
    </row>
    <row r="70" spans="1:16" x14ac:dyDescent="0.3">
      <c r="A70" s="51">
        <v>14</v>
      </c>
      <c r="B70" s="51">
        <v>802</v>
      </c>
      <c r="C70" s="50"/>
      <c r="D70" s="53" t="s">
        <v>109</v>
      </c>
      <c r="E70" s="56">
        <v>43646</v>
      </c>
      <c r="F70" s="50"/>
      <c r="G70" s="50"/>
      <c r="H70" s="50"/>
      <c r="I70" s="50"/>
      <c r="J70" s="59"/>
      <c r="K70" s="55"/>
      <c r="L70" s="55"/>
      <c r="M70" s="55"/>
      <c r="N70" s="81"/>
      <c r="O70" s="62"/>
      <c r="P70" s="62"/>
    </row>
    <row r="71" spans="1:16" x14ac:dyDescent="0.3">
      <c r="A71" s="51">
        <v>15</v>
      </c>
      <c r="B71" s="51">
        <v>806</v>
      </c>
      <c r="C71" s="50"/>
      <c r="D71" s="53" t="s">
        <v>109</v>
      </c>
      <c r="E71" s="56">
        <v>43804</v>
      </c>
      <c r="F71" s="50"/>
      <c r="G71" s="50"/>
      <c r="H71" s="50"/>
      <c r="I71" s="50"/>
      <c r="J71" s="59"/>
      <c r="K71" s="55"/>
      <c r="L71" s="55"/>
      <c r="M71" s="55"/>
      <c r="N71" s="81"/>
      <c r="O71" s="62"/>
      <c r="P71" s="62"/>
    </row>
    <row r="72" spans="1:16" x14ac:dyDescent="0.3">
      <c r="A72" s="51">
        <v>16</v>
      </c>
      <c r="B72" s="51">
        <v>809</v>
      </c>
      <c r="C72" s="50"/>
      <c r="D72" s="53" t="s">
        <v>109</v>
      </c>
      <c r="E72" s="56">
        <v>43806</v>
      </c>
      <c r="F72" s="50"/>
      <c r="G72" s="50"/>
      <c r="H72" s="50"/>
      <c r="I72" s="50"/>
      <c r="J72" s="59"/>
      <c r="K72" s="55"/>
      <c r="L72" s="55"/>
      <c r="M72" s="55"/>
      <c r="N72" s="81"/>
      <c r="O72" s="62"/>
      <c r="P72" s="62"/>
    </row>
    <row r="73" spans="1:16" x14ac:dyDescent="0.3">
      <c r="A73" s="51">
        <v>17</v>
      </c>
      <c r="B73" s="51">
        <v>810</v>
      </c>
      <c r="C73" s="50"/>
      <c r="D73" s="53" t="s">
        <v>109</v>
      </c>
      <c r="E73" s="56">
        <v>43807</v>
      </c>
      <c r="F73" s="50"/>
      <c r="G73" s="50"/>
      <c r="H73" s="50"/>
      <c r="I73" s="50"/>
      <c r="J73" s="59"/>
      <c r="K73" s="55"/>
      <c r="L73" s="55"/>
      <c r="M73" s="55"/>
      <c r="N73" s="81"/>
      <c r="O73" s="62"/>
      <c r="P73" s="62"/>
    </row>
    <row r="74" spans="1:16" x14ac:dyDescent="0.3">
      <c r="A74" s="51">
        <v>18</v>
      </c>
      <c r="B74" s="51">
        <v>811</v>
      </c>
      <c r="C74" s="50"/>
      <c r="D74" s="53" t="s">
        <v>109</v>
      </c>
      <c r="E74" s="56">
        <v>43807</v>
      </c>
      <c r="F74" s="50"/>
      <c r="G74" s="50"/>
      <c r="H74" s="50"/>
      <c r="I74" s="50"/>
      <c r="J74" s="59"/>
      <c r="K74" s="55"/>
      <c r="L74" s="55"/>
      <c r="M74" s="55"/>
      <c r="N74" s="81"/>
      <c r="O74" s="62"/>
      <c r="P74" s="62"/>
    </row>
    <row r="75" spans="1:16" x14ac:dyDescent="0.3">
      <c r="A75" s="51">
        <v>19</v>
      </c>
      <c r="B75" s="51">
        <v>812</v>
      </c>
      <c r="C75" s="50"/>
      <c r="D75" s="53" t="s">
        <v>109</v>
      </c>
      <c r="E75" s="56">
        <v>43809</v>
      </c>
      <c r="F75" s="50"/>
      <c r="G75" s="50"/>
      <c r="H75" s="50"/>
      <c r="I75" s="50"/>
      <c r="J75" s="59"/>
      <c r="K75" s="55"/>
      <c r="L75" s="55"/>
      <c r="M75" s="55"/>
      <c r="N75" s="81"/>
      <c r="O75" s="62"/>
      <c r="P75" s="62"/>
    </row>
    <row r="76" spans="1:16" x14ac:dyDescent="0.3">
      <c r="A76" s="51">
        <v>20</v>
      </c>
      <c r="B76" s="51">
        <v>814</v>
      </c>
      <c r="C76" s="50"/>
      <c r="D76" s="53" t="s">
        <v>110</v>
      </c>
      <c r="E76" s="56">
        <v>43811</v>
      </c>
      <c r="F76" s="50"/>
      <c r="G76" s="50"/>
      <c r="H76" s="50"/>
      <c r="I76" s="50"/>
      <c r="J76" s="59"/>
      <c r="K76" s="55"/>
      <c r="L76" s="55"/>
      <c r="M76" s="55"/>
      <c r="N76" s="81"/>
      <c r="O76" s="62"/>
      <c r="P76" s="62"/>
    </row>
    <row r="77" spans="1:16" x14ac:dyDescent="0.3">
      <c r="A77" s="51">
        <v>21</v>
      </c>
      <c r="B77" s="51">
        <v>815</v>
      </c>
      <c r="C77" s="50"/>
      <c r="D77" s="53" t="s">
        <v>110</v>
      </c>
      <c r="E77" s="56">
        <v>43811</v>
      </c>
      <c r="F77" s="50"/>
      <c r="G77" s="50"/>
      <c r="H77" s="50"/>
      <c r="I77" s="50"/>
      <c r="J77" s="59"/>
      <c r="K77" s="55"/>
      <c r="L77" s="55"/>
      <c r="M77" s="55"/>
      <c r="N77" s="81"/>
      <c r="O77" s="62"/>
      <c r="P77" s="62"/>
    </row>
    <row r="78" spans="1:16" x14ac:dyDescent="0.3">
      <c r="A78" s="51">
        <v>22</v>
      </c>
      <c r="B78" s="51">
        <v>820</v>
      </c>
      <c r="C78" s="50"/>
      <c r="D78" s="53" t="s">
        <v>109</v>
      </c>
      <c r="E78" s="56">
        <v>43816</v>
      </c>
      <c r="F78" s="50"/>
      <c r="G78" s="50"/>
      <c r="H78" s="50"/>
      <c r="I78" s="50"/>
      <c r="J78" s="59"/>
      <c r="K78" s="55"/>
      <c r="L78" s="55"/>
      <c r="M78" s="55"/>
      <c r="N78" s="81"/>
      <c r="O78" s="62"/>
      <c r="P78" s="62"/>
    </row>
    <row r="79" spans="1:16" x14ac:dyDescent="0.3">
      <c r="A79" s="51">
        <v>23</v>
      </c>
      <c r="B79" s="51">
        <v>824</v>
      </c>
      <c r="C79" s="50"/>
      <c r="D79" s="53" t="s">
        <v>109</v>
      </c>
      <c r="E79" s="56">
        <v>43819</v>
      </c>
      <c r="F79" s="50"/>
      <c r="G79" s="50"/>
      <c r="H79" s="50"/>
      <c r="I79" s="50"/>
      <c r="J79" s="59"/>
      <c r="K79" s="55"/>
      <c r="L79" s="55"/>
      <c r="M79" s="55"/>
      <c r="N79" s="81"/>
      <c r="O79" s="62"/>
      <c r="P79" s="62"/>
    </row>
    <row r="80" spans="1:16" x14ac:dyDescent="0.3">
      <c r="A80" s="51">
        <v>24</v>
      </c>
      <c r="B80" s="51">
        <v>826</v>
      </c>
      <c r="C80" s="50"/>
      <c r="D80" s="53" t="s">
        <v>109</v>
      </c>
      <c r="E80" s="56">
        <v>43821</v>
      </c>
      <c r="F80" s="50"/>
      <c r="G80" s="50"/>
      <c r="H80" s="50"/>
      <c r="I80" s="50"/>
      <c r="J80" s="59"/>
      <c r="K80" s="55"/>
      <c r="L80" s="55"/>
      <c r="M80" s="55"/>
      <c r="N80" s="81"/>
      <c r="O80" s="62"/>
      <c r="P80" s="62"/>
    </row>
    <row r="81" spans="1:16" x14ac:dyDescent="0.3">
      <c r="A81" s="51">
        <v>25</v>
      </c>
      <c r="B81" s="51">
        <v>829</v>
      </c>
      <c r="C81" s="50"/>
      <c r="D81" s="53" t="s">
        <v>105</v>
      </c>
      <c r="E81" s="56">
        <v>43838</v>
      </c>
      <c r="F81" s="50"/>
      <c r="G81" s="50"/>
      <c r="H81" s="50"/>
      <c r="I81" s="50"/>
      <c r="J81" s="59"/>
      <c r="K81" s="55"/>
      <c r="L81" s="55"/>
      <c r="M81" s="55"/>
      <c r="N81" s="81"/>
      <c r="O81" s="62"/>
      <c r="P81" s="62"/>
    </row>
    <row r="82" spans="1:16" x14ac:dyDescent="0.3">
      <c r="A82" s="51">
        <v>26</v>
      </c>
      <c r="B82" s="51">
        <v>833</v>
      </c>
      <c r="C82" s="50"/>
      <c r="D82" s="53" t="s">
        <v>109</v>
      </c>
      <c r="E82" s="56">
        <v>43860</v>
      </c>
      <c r="F82" s="50"/>
      <c r="G82" s="50"/>
      <c r="H82" s="50"/>
      <c r="I82" s="50"/>
      <c r="J82" s="59"/>
      <c r="K82" s="55"/>
      <c r="L82" s="55"/>
      <c r="M82" s="55"/>
      <c r="N82" s="81"/>
      <c r="O82" s="62"/>
      <c r="P82" s="62"/>
    </row>
    <row r="83" spans="1:16" x14ac:dyDescent="0.3">
      <c r="A83" s="51">
        <v>27</v>
      </c>
      <c r="B83" s="51">
        <v>837</v>
      </c>
      <c r="C83" s="50"/>
      <c r="D83" s="53" t="s">
        <v>109</v>
      </c>
      <c r="E83" s="56">
        <v>43884</v>
      </c>
      <c r="F83" s="50"/>
      <c r="G83" s="50"/>
      <c r="H83" s="50"/>
      <c r="I83" s="50"/>
      <c r="J83" s="59"/>
      <c r="K83" s="55"/>
      <c r="L83" s="55"/>
      <c r="M83" s="55"/>
      <c r="N83" s="81"/>
      <c r="O83" s="62"/>
      <c r="P83" s="62"/>
    </row>
    <row r="84" spans="1:16" x14ac:dyDescent="0.3">
      <c r="A84" s="51">
        <v>28</v>
      </c>
      <c r="B84" s="51">
        <v>841</v>
      </c>
      <c r="C84" s="50"/>
      <c r="D84" s="53" t="s">
        <v>109</v>
      </c>
      <c r="E84" s="56">
        <v>43943</v>
      </c>
      <c r="F84" s="50"/>
      <c r="G84" s="50"/>
      <c r="H84" s="50"/>
      <c r="I84" s="50"/>
      <c r="J84" s="59"/>
      <c r="K84" s="55"/>
      <c r="L84" s="55"/>
      <c r="M84" s="55"/>
      <c r="N84" s="81"/>
      <c r="O84" s="62"/>
      <c r="P84" s="62"/>
    </row>
    <row r="85" spans="1:16" x14ac:dyDescent="0.3">
      <c r="A85" s="51">
        <v>29</v>
      </c>
      <c r="B85" s="51">
        <v>847</v>
      </c>
      <c r="C85" s="50"/>
      <c r="D85" s="53" t="s">
        <v>109</v>
      </c>
      <c r="E85" s="56">
        <v>44154</v>
      </c>
      <c r="F85" s="50"/>
      <c r="G85" s="50"/>
      <c r="H85" s="50"/>
      <c r="I85" s="50"/>
      <c r="J85" s="59"/>
      <c r="K85" s="55"/>
      <c r="L85" s="55"/>
      <c r="M85" s="55"/>
      <c r="N85" s="81"/>
      <c r="O85" s="62"/>
      <c r="P85" s="62"/>
    </row>
    <row r="86" spans="1:16" x14ac:dyDescent="0.3">
      <c r="A86" s="51">
        <v>30</v>
      </c>
      <c r="B86" s="51">
        <v>848</v>
      </c>
      <c r="C86" s="50"/>
      <c r="D86" s="53" t="s">
        <v>109</v>
      </c>
      <c r="E86" s="56">
        <v>44156</v>
      </c>
      <c r="F86" s="50"/>
      <c r="G86" s="50"/>
      <c r="H86" s="50"/>
      <c r="I86" s="50"/>
      <c r="J86" s="59"/>
      <c r="K86" s="55"/>
      <c r="L86" s="55"/>
      <c r="M86" s="55"/>
      <c r="N86" s="81"/>
      <c r="O86" s="62"/>
      <c r="P86" s="62"/>
    </row>
    <row r="87" spans="1:16" x14ac:dyDescent="0.3">
      <c r="A87" s="51">
        <v>31</v>
      </c>
      <c r="B87" s="51">
        <v>849</v>
      </c>
      <c r="C87" s="50"/>
      <c r="D87" s="53" t="s">
        <v>109</v>
      </c>
      <c r="E87" s="56">
        <v>44161</v>
      </c>
      <c r="F87" s="50"/>
      <c r="G87" s="50"/>
      <c r="H87" s="50"/>
      <c r="I87" s="50"/>
      <c r="J87" s="59"/>
      <c r="K87" s="55"/>
      <c r="L87" s="55"/>
      <c r="M87" s="55"/>
      <c r="N87" s="81"/>
      <c r="O87" s="62"/>
      <c r="P87" s="62"/>
    </row>
    <row r="88" spans="1:16" x14ac:dyDescent="0.3">
      <c r="A88" s="51">
        <v>32</v>
      </c>
      <c r="B88" s="51">
        <v>850</v>
      </c>
      <c r="C88" s="50"/>
      <c r="D88" s="53" t="s">
        <v>109</v>
      </c>
      <c r="E88" s="56">
        <v>44162</v>
      </c>
      <c r="F88" s="50"/>
      <c r="G88" s="50"/>
      <c r="H88" s="50"/>
      <c r="I88" s="50"/>
      <c r="J88" s="59"/>
      <c r="K88" s="55"/>
      <c r="L88" s="55"/>
      <c r="M88" s="55"/>
      <c r="N88" s="81"/>
      <c r="O88" s="62"/>
      <c r="P88" s="62"/>
    </row>
    <row r="89" spans="1:16" x14ac:dyDescent="0.3">
      <c r="A89" s="51">
        <v>33</v>
      </c>
      <c r="B89" s="51">
        <v>851</v>
      </c>
      <c r="C89" s="50"/>
      <c r="D89" s="53" t="s">
        <v>109</v>
      </c>
      <c r="E89" s="56">
        <v>44167</v>
      </c>
      <c r="F89" s="50"/>
      <c r="G89" s="50"/>
      <c r="H89" s="50"/>
      <c r="I89" s="50"/>
      <c r="J89" s="59"/>
      <c r="K89" s="55"/>
      <c r="L89" s="55"/>
      <c r="M89" s="55"/>
      <c r="N89" s="81"/>
      <c r="O89" s="62"/>
      <c r="P89" s="62"/>
    </row>
    <row r="90" spans="1:16" x14ac:dyDescent="0.3">
      <c r="A90" s="51">
        <v>34</v>
      </c>
      <c r="B90" s="51">
        <v>854</v>
      </c>
      <c r="C90" s="50"/>
      <c r="D90" s="53" t="s">
        <v>109</v>
      </c>
      <c r="E90" s="56">
        <v>44175</v>
      </c>
      <c r="F90" s="50"/>
      <c r="G90" s="50"/>
      <c r="H90" s="50"/>
      <c r="I90" s="50"/>
      <c r="J90" s="59"/>
      <c r="K90" s="55"/>
      <c r="L90" s="55"/>
      <c r="M90" s="55"/>
      <c r="O90" s="62"/>
      <c r="P90" s="62"/>
    </row>
    <row r="91" spans="1:16" x14ac:dyDescent="0.3">
      <c r="A91" s="51">
        <v>35</v>
      </c>
      <c r="B91" s="51">
        <v>855</v>
      </c>
      <c r="C91" s="50"/>
      <c r="D91" s="53" t="s">
        <v>109</v>
      </c>
      <c r="E91" s="56">
        <v>44175</v>
      </c>
      <c r="F91" s="50"/>
      <c r="G91" s="50"/>
      <c r="H91" s="50"/>
      <c r="I91" s="50"/>
      <c r="J91" s="59"/>
      <c r="K91" s="55"/>
      <c r="L91" s="55"/>
      <c r="M91" s="55"/>
      <c r="O91" s="62"/>
      <c r="P91" s="62"/>
    </row>
    <row r="92" spans="1:16" x14ac:dyDescent="0.3">
      <c r="A92" s="51">
        <v>36</v>
      </c>
      <c r="B92" s="51">
        <v>856</v>
      </c>
      <c r="C92" s="50"/>
      <c r="D92" s="53" t="s">
        <v>109</v>
      </c>
      <c r="E92" s="56">
        <v>44176</v>
      </c>
      <c r="F92" s="50"/>
      <c r="G92" s="50"/>
      <c r="H92" s="50"/>
      <c r="I92" s="50"/>
      <c r="J92" s="59"/>
      <c r="K92" s="55"/>
      <c r="L92" s="55"/>
      <c r="M92" s="55"/>
      <c r="O92" s="62"/>
      <c r="P92" s="62"/>
    </row>
    <row r="93" spans="1:16" x14ac:dyDescent="0.3">
      <c r="A93" s="51">
        <v>37</v>
      </c>
      <c r="B93" s="51">
        <v>857</v>
      </c>
      <c r="C93" s="50"/>
      <c r="D93" s="53" t="s">
        <v>109</v>
      </c>
      <c r="E93" s="56">
        <v>44179</v>
      </c>
      <c r="F93" s="50"/>
      <c r="G93" s="50"/>
      <c r="H93" s="50"/>
      <c r="I93" s="50"/>
      <c r="J93" s="59"/>
      <c r="K93" s="55"/>
      <c r="L93" s="55"/>
      <c r="M93" s="55"/>
      <c r="O93" s="62"/>
      <c r="P93" s="62"/>
    </row>
    <row r="94" spans="1:16" x14ac:dyDescent="0.3">
      <c r="A94" s="51">
        <v>38</v>
      </c>
      <c r="B94" s="51">
        <v>858</v>
      </c>
      <c r="C94" s="50"/>
      <c r="D94" s="53" t="s">
        <v>109</v>
      </c>
      <c r="E94" s="56">
        <v>44185</v>
      </c>
      <c r="F94" s="50"/>
      <c r="G94" s="50"/>
      <c r="H94" s="50"/>
      <c r="I94" s="50"/>
      <c r="J94" s="59"/>
      <c r="K94" s="55"/>
      <c r="L94" s="55"/>
      <c r="M94" s="55"/>
      <c r="O94" s="62"/>
      <c r="P94" s="62"/>
    </row>
    <row r="95" spans="1:16" x14ac:dyDescent="0.3">
      <c r="A95" s="51"/>
      <c r="B95" s="51"/>
      <c r="C95" s="50"/>
      <c r="D95" s="53"/>
      <c r="E95" s="56"/>
      <c r="F95" s="50"/>
      <c r="G95" s="50"/>
      <c r="H95" s="50"/>
      <c r="I95" s="50"/>
      <c r="J95" s="59"/>
      <c r="K95" s="55"/>
      <c r="L95" s="55"/>
      <c r="M95" s="55"/>
      <c r="O95" s="62"/>
      <c r="P95" s="62"/>
    </row>
    <row r="96" spans="1:16" x14ac:dyDescent="0.3">
      <c r="A96" s="51"/>
      <c r="B96" s="51"/>
      <c r="C96" s="50"/>
      <c r="D96" s="53"/>
      <c r="E96" s="56"/>
      <c r="F96" s="50"/>
      <c r="G96" s="50"/>
      <c r="H96" s="50"/>
      <c r="I96" s="50"/>
      <c r="J96" s="59"/>
      <c r="K96" s="55"/>
      <c r="L96" s="55"/>
      <c r="M96" s="55"/>
      <c r="O96" s="62"/>
      <c r="P96" s="62"/>
    </row>
    <row r="97" spans="1:13" x14ac:dyDescent="0.3">
      <c r="A97" s="51"/>
      <c r="B97" s="51"/>
      <c r="C97" s="50"/>
      <c r="D97" s="53"/>
      <c r="E97" s="56"/>
      <c r="F97" s="50"/>
      <c r="G97" s="50"/>
      <c r="H97" s="50"/>
      <c r="I97" s="50"/>
      <c r="J97" s="59"/>
      <c r="K97" s="55"/>
      <c r="L97" s="55"/>
      <c r="M97" s="55"/>
    </row>
    <row r="98" spans="1:13" x14ac:dyDescent="0.3">
      <c r="A98" s="108" t="s">
        <v>165</v>
      </c>
      <c r="B98" s="51"/>
      <c r="C98" s="50"/>
      <c r="D98" s="53"/>
      <c r="E98" s="56"/>
      <c r="F98" s="50"/>
      <c r="G98" s="50"/>
      <c r="H98" s="50"/>
      <c r="I98" s="50"/>
      <c r="J98" s="59"/>
      <c r="K98" s="55"/>
      <c r="L98" s="55"/>
      <c r="M98" s="55"/>
    </row>
    <row r="99" spans="1:13" x14ac:dyDescent="0.3">
      <c r="A99" s="51">
        <v>1</v>
      </c>
      <c r="B99" s="51">
        <v>813</v>
      </c>
      <c r="C99" s="50"/>
      <c r="D99" s="53" t="s">
        <v>167</v>
      </c>
      <c r="E99" s="56">
        <v>43810</v>
      </c>
      <c r="F99" s="50"/>
      <c r="G99" s="50"/>
      <c r="H99" s="50"/>
      <c r="I99" s="50"/>
      <c r="J99" s="59"/>
      <c r="K99" s="55"/>
      <c r="L99" s="55"/>
      <c r="M99" s="55"/>
    </row>
    <row r="100" spans="1:13" x14ac:dyDescent="0.3">
      <c r="A100" s="51">
        <v>2</v>
      </c>
      <c r="B100" s="51">
        <v>821</v>
      </c>
      <c r="C100" s="50"/>
      <c r="D100" s="53" t="s">
        <v>109</v>
      </c>
      <c r="E100" s="56">
        <v>43816</v>
      </c>
      <c r="F100" s="50"/>
      <c r="G100" s="50"/>
      <c r="H100" s="50"/>
      <c r="I100" s="50"/>
      <c r="J100" s="59"/>
      <c r="K100" s="55"/>
      <c r="L100" s="55"/>
      <c r="M100" s="55"/>
    </row>
    <row r="101" spans="1:13" x14ac:dyDescent="0.3">
      <c r="A101" s="51">
        <v>3</v>
      </c>
      <c r="B101" s="51">
        <v>822</v>
      </c>
      <c r="C101" s="50"/>
      <c r="D101" s="53" t="s">
        <v>109</v>
      </c>
      <c r="E101" s="56">
        <v>43818</v>
      </c>
      <c r="F101" s="50"/>
      <c r="G101" s="50"/>
      <c r="H101" s="50"/>
      <c r="I101" s="50"/>
      <c r="J101" s="59"/>
      <c r="K101" s="55"/>
      <c r="L101" s="55"/>
      <c r="M101" s="55"/>
    </row>
    <row r="102" spans="1:13" x14ac:dyDescent="0.3">
      <c r="A102" s="51">
        <v>4</v>
      </c>
      <c r="B102" s="51">
        <v>823</v>
      </c>
      <c r="C102" s="50"/>
      <c r="D102" s="53" t="s">
        <v>109</v>
      </c>
      <c r="E102" s="56">
        <v>43818</v>
      </c>
      <c r="F102" s="50"/>
      <c r="G102" s="50"/>
      <c r="H102" s="50"/>
      <c r="I102" s="50"/>
      <c r="J102" s="59"/>
      <c r="K102" s="55"/>
      <c r="L102" s="55"/>
      <c r="M102" s="55"/>
    </row>
    <row r="103" spans="1:13" x14ac:dyDescent="0.3">
      <c r="A103" s="51">
        <v>5</v>
      </c>
      <c r="B103" s="51">
        <v>825</v>
      </c>
      <c r="C103" s="50"/>
      <c r="D103" s="53" t="s">
        <v>109</v>
      </c>
      <c r="E103" s="56">
        <v>43820</v>
      </c>
      <c r="F103" s="50"/>
      <c r="G103" s="50"/>
      <c r="H103" s="50"/>
      <c r="I103" s="50"/>
      <c r="J103" s="59"/>
      <c r="K103" s="55"/>
      <c r="L103" s="55"/>
      <c r="M103" s="55"/>
    </row>
    <row r="104" spans="1:13" x14ac:dyDescent="0.3">
      <c r="A104" s="51">
        <v>6</v>
      </c>
      <c r="B104" s="51">
        <v>827</v>
      </c>
      <c r="C104" s="50"/>
      <c r="D104" s="53" t="s">
        <v>109</v>
      </c>
      <c r="E104" s="56">
        <v>43834</v>
      </c>
      <c r="F104" s="50"/>
      <c r="G104" s="50"/>
      <c r="H104" s="50"/>
      <c r="I104" s="50"/>
      <c r="J104" s="59"/>
      <c r="K104" s="55"/>
      <c r="L104" s="55"/>
      <c r="M104" s="55"/>
    </row>
    <row r="105" spans="1:13" x14ac:dyDescent="0.3">
      <c r="A105" s="51">
        <v>7</v>
      </c>
      <c r="B105" s="51">
        <v>832</v>
      </c>
      <c r="C105" s="50"/>
      <c r="D105" s="53" t="s">
        <v>109</v>
      </c>
      <c r="E105" s="56">
        <v>43855</v>
      </c>
      <c r="F105" s="50"/>
      <c r="G105" s="50"/>
      <c r="H105" s="50"/>
      <c r="I105" s="50"/>
      <c r="J105" s="59"/>
      <c r="K105" s="55"/>
      <c r="L105" s="55"/>
      <c r="M105" s="55"/>
    </row>
    <row r="106" spans="1:13" x14ac:dyDescent="0.3">
      <c r="A106" s="51">
        <v>8</v>
      </c>
      <c r="B106" s="51">
        <v>836</v>
      </c>
      <c r="C106" s="50"/>
      <c r="D106" s="53" t="s">
        <v>108</v>
      </c>
      <c r="E106" s="56">
        <v>43883</v>
      </c>
      <c r="F106" s="50"/>
      <c r="G106" s="50"/>
      <c r="H106" s="50"/>
      <c r="I106" s="50"/>
      <c r="J106" s="59"/>
      <c r="K106" s="55"/>
      <c r="L106" s="55"/>
      <c r="M106" s="55"/>
    </row>
    <row r="107" spans="1:13" x14ac:dyDescent="0.3">
      <c r="A107" s="51">
        <v>9</v>
      </c>
      <c r="B107" s="51">
        <v>839</v>
      </c>
      <c r="C107" s="50"/>
      <c r="D107" s="53" t="s">
        <v>109</v>
      </c>
      <c r="E107" s="56">
        <v>43917</v>
      </c>
      <c r="F107" s="50"/>
      <c r="G107" s="50"/>
      <c r="H107" s="50"/>
      <c r="I107" s="50"/>
      <c r="J107" s="59"/>
      <c r="K107" s="55"/>
      <c r="L107" s="55"/>
      <c r="M107" s="55"/>
    </row>
    <row r="108" spans="1:13" x14ac:dyDescent="0.3">
      <c r="A108" s="51">
        <v>10</v>
      </c>
      <c r="B108" s="51">
        <v>842</v>
      </c>
      <c r="C108" s="50"/>
      <c r="D108" s="53" t="s">
        <v>167</v>
      </c>
      <c r="E108" s="56">
        <v>43990</v>
      </c>
      <c r="F108" s="50"/>
      <c r="G108" s="50"/>
      <c r="H108" s="50"/>
      <c r="I108" s="50"/>
      <c r="J108" s="59"/>
      <c r="K108" s="55"/>
      <c r="L108" s="55"/>
      <c r="M108" s="55"/>
    </row>
    <row r="109" spans="1:13" x14ac:dyDescent="0.3">
      <c r="A109" s="51">
        <v>11</v>
      </c>
      <c r="B109" s="51">
        <v>843</v>
      </c>
      <c r="C109" s="50"/>
      <c r="D109" s="53" t="s">
        <v>109</v>
      </c>
      <c r="E109" s="56">
        <v>44109</v>
      </c>
      <c r="F109" s="50"/>
      <c r="G109" s="50"/>
      <c r="H109" s="50"/>
      <c r="I109" s="50"/>
      <c r="J109" s="59"/>
      <c r="K109" s="55"/>
      <c r="L109" s="55"/>
      <c r="M109" s="55"/>
    </row>
    <row r="110" spans="1:13" x14ac:dyDescent="0.3">
      <c r="A110" s="51">
        <v>12</v>
      </c>
      <c r="B110" s="51">
        <v>844</v>
      </c>
      <c r="C110" s="50"/>
      <c r="D110" s="53" t="s">
        <v>109</v>
      </c>
      <c r="E110" s="56">
        <v>44130</v>
      </c>
      <c r="F110" s="50"/>
      <c r="G110" s="50"/>
      <c r="H110" s="50"/>
      <c r="I110" s="50"/>
      <c r="J110" s="59"/>
      <c r="K110" s="55"/>
      <c r="L110" s="55"/>
      <c r="M110" s="55"/>
    </row>
    <row r="111" spans="1:13" x14ac:dyDescent="0.3">
      <c r="A111" s="51">
        <v>13</v>
      </c>
      <c r="B111" s="51">
        <v>846</v>
      </c>
      <c r="C111" s="50"/>
      <c r="D111" s="53" t="s">
        <v>109</v>
      </c>
      <c r="E111" s="56">
        <v>43839</v>
      </c>
      <c r="F111" s="50"/>
      <c r="G111" s="50"/>
      <c r="H111" s="50"/>
      <c r="I111" s="50"/>
      <c r="J111" s="59"/>
      <c r="K111" s="55"/>
      <c r="L111" s="55"/>
      <c r="M111" s="55"/>
    </row>
    <row r="112" spans="1:13" x14ac:dyDescent="0.3">
      <c r="A112" s="51">
        <v>14</v>
      </c>
      <c r="B112" s="51">
        <v>852</v>
      </c>
      <c r="C112" s="50"/>
      <c r="D112" s="53" t="s">
        <v>109</v>
      </c>
      <c r="E112" s="56">
        <v>44168</v>
      </c>
      <c r="F112" s="50"/>
      <c r="G112" s="50"/>
      <c r="H112" s="50"/>
      <c r="I112" s="50"/>
      <c r="J112" s="59"/>
      <c r="K112" s="55"/>
      <c r="L112" s="55"/>
      <c r="M112" s="55"/>
    </row>
    <row r="113" spans="1:20" x14ac:dyDescent="0.3">
      <c r="A113" s="51">
        <v>15</v>
      </c>
      <c r="B113" s="51">
        <v>853</v>
      </c>
      <c r="C113" s="50"/>
      <c r="D113" s="53" t="s">
        <v>109</v>
      </c>
      <c r="E113" s="56">
        <v>44174</v>
      </c>
      <c r="F113" s="50"/>
      <c r="G113" s="50"/>
      <c r="H113" s="50"/>
      <c r="I113" s="50"/>
      <c r="J113" s="59"/>
      <c r="K113" s="55"/>
      <c r="L113" s="55"/>
      <c r="M113" s="55"/>
    </row>
    <row r="114" spans="1:20" x14ac:dyDescent="0.3">
      <c r="A114" s="51"/>
      <c r="B114" s="51"/>
      <c r="C114" s="50"/>
      <c r="D114" s="53"/>
      <c r="E114" s="56"/>
      <c r="F114" s="50"/>
      <c r="G114" s="50"/>
      <c r="H114" s="50"/>
      <c r="I114" s="50"/>
      <c r="J114" s="59"/>
      <c r="K114" s="55"/>
      <c r="L114" s="55"/>
      <c r="M114" s="55"/>
    </row>
    <row r="115" spans="1:20" x14ac:dyDescent="0.3">
      <c r="A115" s="51"/>
      <c r="B115" s="51"/>
      <c r="C115" s="50"/>
      <c r="D115" s="53"/>
      <c r="E115" s="56"/>
      <c r="F115" s="50"/>
      <c r="G115" s="50"/>
      <c r="H115" s="50"/>
      <c r="I115" s="50"/>
      <c r="J115" s="59"/>
      <c r="K115" s="55"/>
      <c r="L115" s="55"/>
      <c r="M115" s="55"/>
    </row>
    <row r="116" spans="1:20" x14ac:dyDescent="0.3">
      <c r="A116" s="108" t="s">
        <v>168</v>
      </c>
      <c r="B116" s="51"/>
      <c r="C116" s="50"/>
      <c r="D116" s="53"/>
      <c r="E116" s="56"/>
      <c r="F116" s="50"/>
      <c r="G116" s="50"/>
      <c r="H116" s="50"/>
      <c r="I116" s="50"/>
      <c r="J116" s="59"/>
      <c r="K116" s="55"/>
      <c r="L116" s="55"/>
      <c r="M116" s="55"/>
    </row>
    <row r="117" spans="1:20" x14ac:dyDescent="0.3">
      <c r="A117" s="51">
        <v>1</v>
      </c>
      <c r="B117" s="51">
        <v>11</v>
      </c>
      <c r="C117" s="100" t="s">
        <v>169</v>
      </c>
      <c r="D117" s="53" t="s">
        <v>105</v>
      </c>
      <c r="E117" s="56">
        <v>42345</v>
      </c>
      <c r="F117" s="50"/>
      <c r="G117" s="50"/>
      <c r="H117" s="50"/>
      <c r="I117" s="50"/>
      <c r="J117" s="59"/>
      <c r="K117" s="55"/>
      <c r="L117" s="55"/>
      <c r="M117" s="55"/>
    </row>
    <row r="118" spans="1:20" x14ac:dyDescent="0.3">
      <c r="A118" s="51"/>
      <c r="B118" s="51"/>
      <c r="C118" s="50"/>
      <c r="D118" s="53"/>
      <c r="E118" s="56"/>
      <c r="F118" s="50"/>
      <c r="G118" s="50"/>
      <c r="H118" s="50"/>
      <c r="I118" s="50"/>
      <c r="J118" s="59"/>
      <c r="K118" s="55"/>
      <c r="L118" s="55"/>
      <c r="M118" s="55"/>
    </row>
    <row r="119" spans="1:20" x14ac:dyDescent="0.3">
      <c r="A119" s="51"/>
      <c r="B119" s="51"/>
      <c r="C119" s="50"/>
      <c r="D119" s="53"/>
      <c r="E119" s="56"/>
      <c r="F119" s="50"/>
      <c r="G119" s="50"/>
      <c r="H119" s="50"/>
      <c r="I119" s="50"/>
      <c r="J119" s="59"/>
      <c r="K119" s="55"/>
      <c r="L119" s="55"/>
      <c r="M119" s="55"/>
    </row>
    <row r="121" spans="1:20" s="6" customFormat="1" x14ac:dyDescent="0.3">
      <c r="A121"/>
      <c r="B121" s="6" t="s">
        <v>125</v>
      </c>
      <c r="C121" s="6" t="s">
        <v>121</v>
      </c>
      <c r="D121" s="6" t="s">
        <v>126</v>
      </c>
      <c r="E121" s="6" t="s">
        <v>120</v>
      </c>
      <c r="K121"/>
      <c r="L121"/>
      <c r="M121"/>
      <c r="N121"/>
      <c r="O121"/>
      <c r="P121"/>
      <c r="Q121"/>
      <c r="R121"/>
      <c r="S121"/>
      <c r="T121"/>
    </row>
    <row r="122" spans="1:20" s="6" customFormat="1" x14ac:dyDescent="0.3">
      <c r="A122"/>
      <c r="B122" s="6" t="s">
        <v>122</v>
      </c>
      <c r="C122" s="6" t="s">
        <v>121</v>
      </c>
      <c r="D122" s="6" t="s">
        <v>123</v>
      </c>
      <c r="E122" s="6" t="s">
        <v>124</v>
      </c>
      <c r="K122"/>
      <c r="L122"/>
      <c r="M122"/>
      <c r="N122"/>
      <c r="O122"/>
      <c r="P122"/>
      <c r="Q122"/>
      <c r="R122"/>
      <c r="S122"/>
      <c r="T122"/>
    </row>
    <row r="123" spans="1:20" s="6" customFormat="1" x14ac:dyDescent="0.3">
      <c r="A123"/>
      <c r="B123" s="6" t="s">
        <v>128</v>
      </c>
      <c r="C123" s="6" t="s">
        <v>127</v>
      </c>
      <c r="D123" s="6" t="s">
        <v>131</v>
      </c>
      <c r="K123"/>
      <c r="L123"/>
      <c r="M123"/>
      <c r="N123"/>
      <c r="O123"/>
      <c r="P123"/>
      <c r="Q123"/>
      <c r="R123"/>
      <c r="S123"/>
      <c r="T123"/>
    </row>
    <row r="124" spans="1:20" s="6" customFormat="1" x14ac:dyDescent="0.3">
      <c r="A124"/>
      <c r="B124" s="6" t="s">
        <v>129</v>
      </c>
      <c r="C124" s="6" t="s">
        <v>127</v>
      </c>
      <c r="D124" s="6" t="s">
        <v>130</v>
      </c>
      <c r="K124"/>
      <c r="L124"/>
      <c r="M124"/>
      <c r="N124"/>
      <c r="O124"/>
      <c r="P124"/>
      <c r="Q124"/>
      <c r="R124"/>
      <c r="S124"/>
      <c r="T124"/>
    </row>
    <row r="127" spans="1:20" s="6" customFormat="1" x14ac:dyDescent="0.3">
      <c r="A127"/>
      <c r="B127" s="68" t="s">
        <v>141</v>
      </c>
      <c r="D127" s="69" t="s">
        <v>146</v>
      </c>
      <c r="E127" s="69" t="s">
        <v>144</v>
      </c>
      <c r="F127" s="69" t="s">
        <v>145</v>
      </c>
      <c r="K127"/>
      <c r="L127"/>
      <c r="M127"/>
      <c r="N127"/>
      <c r="O127"/>
      <c r="P127"/>
      <c r="Q127"/>
      <c r="R127"/>
      <c r="S127"/>
      <c r="T127"/>
    </row>
    <row r="128" spans="1:20" s="6" customFormat="1" x14ac:dyDescent="0.3">
      <c r="A128"/>
      <c r="B128" s="6" t="s">
        <v>142</v>
      </c>
      <c r="D128" s="69">
        <f>SUM(D129:D130)</f>
        <v>46</v>
      </c>
      <c r="E128" s="4">
        <v>100</v>
      </c>
      <c r="F128" s="69">
        <f>SUM(F129:F130)</f>
        <v>37</v>
      </c>
      <c r="K128"/>
      <c r="L128"/>
      <c r="M128"/>
      <c r="N128"/>
      <c r="O128"/>
      <c r="P128"/>
      <c r="Q128"/>
      <c r="R128"/>
      <c r="S128"/>
      <c r="T128"/>
    </row>
    <row r="129" spans="1:20" s="6" customFormat="1" x14ac:dyDescent="0.3">
      <c r="A129"/>
      <c r="C129" s="6" t="s">
        <v>143</v>
      </c>
      <c r="D129" s="4">
        <v>28</v>
      </c>
      <c r="E129" s="4">
        <v>50</v>
      </c>
      <c r="F129" s="4">
        <f>D128*50%</f>
        <v>23</v>
      </c>
      <c r="K129"/>
      <c r="L129"/>
      <c r="M129"/>
      <c r="N129"/>
      <c r="O129"/>
      <c r="P129"/>
      <c r="Q129"/>
      <c r="R129"/>
      <c r="S129"/>
      <c r="T129"/>
    </row>
    <row r="130" spans="1:20" s="6" customFormat="1" x14ac:dyDescent="0.3">
      <c r="A130"/>
      <c r="C130" s="6" t="s">
        <v>118</v>
      </c>
      <c r="D130" s="4">
        <v>18</v>
      </c>
      <c r="E130" s="4">
        <v>50</v>
      </c>
      <c r="F130" s="4">
        <f>D129*50%</f>
        <v>14</v>
      </c>
      <c r="K130"/>
      <c r="L130"/>
      <c r="M130"/>
      <c r="N130"/>
      <c r="O130"/>
      <c r="P130"/>
      <c r="Q130"/>
      <c r="R130"/>
      <c r="S130"/>
      <c r="T130"/>
    </row>
    <row r="131" spans="1:20" s="6" customFormat="1" x14ac:dyDescent="0.3">
      <c r="A131"/>
      <c r="E131" s="4"/>
      <c r="K131"/>
      <c r="L131"/>
      <c r="M131"/>
      <c r="N131"/>
      <c r="O131"/>
      <c r="P131"/>
      <c r="Q131"/>
      <c r="R131"/>
      <c r="S131"/>
      <c r="T131"/>
    </row>
    <row r="132" spans="1:20" s="6" customFormat="1" x14ac:dyDescent="0.3">
      <c r="A132"/>
      <c r="E132" s="4"/>
      <c r="K132"/>
      <c r="L132"/>
      <c r="M132"/>
      <c r="N132"/>
      <c r="O132"/>
      <c r="P132"/>
      <c r="Q132"/>
      <c r="R132"/>
      <c r="S132"/>
      <c r="T132"/>
    </row>
    <row r="133" spans="1:20" s="6" customFormat="1" x14ac:dyDescent="0.3">
      <c r="A133"/>
      <c r="C133" s="6" t="s">
        <v>147</v>
      </c>
      <c r="D133" s="69">
        <v>1</v>
      </c>
      <c r="E133" s="4">
        <v>3</v>
      </c>
      <c r="F133" s="69">
        <v>1</v>
      </c>
      <c r="K133"/>
      <c r="L133"/>
      <c r="M133"/>
      <c r="N133"/>
      <c r="O133"/>
      <c r="P133"/>
      <c r="Q133"/>
      <c r="R133"/>
      <c r="S133"/>
      <c r="T133"/>
    </row>
    <row r="134" spans="1:20" s="6" customFormat="1" x14ac:dyDescent="0.3">
      <c r="A134"/>
      <c r="D134" s="4"/>
      <c r="E134" s="4"/>
      <c r="K134"/>
      <c r="L134"/>
      <c r="M134"/>
      <c r="N134"/>
      <c r="O134"/>
      <c r="P134"/>
      <c r="Q134"/>
      <c r="R134"/>
      <c r="S134"/>
      <c r="T134"/>
    </row>
    <row r="135" spans="1:20" s="6" customFormat="1" x14ac:dyDescent="0.3">
      <c r="A135"/>
      <c r="B135" s="6" t="s">
        <v>148</v>
      </c>
      <c r="D135" s="69">
        <f>SUM(D136:D139)</f>
        <v>47</v>
      </c>
      <c r="E135" s="4"/>
      <c r="F135" s="71">
        <f>SUM(F136:F139)</f>
        <v>43.7</v>
      </c>
      <c r="K135"/>
      <c r="L135"/>
      <c r="M135"/>
      <c r="N135"/>
      <c r="O135"/>
      <c r="P135"/>
      <c r="Q135"/>
      <c r="R135"/>
      <c r="S135"/>
      <c r="T135"/>
    </row>
    <row r="136" spans="1:20" s="6" customFormat="1" x14ac:dyDescent="0.3">
      <c r="A136"/>
      <c r="C136" s="6" t="s">
        <v>149</v>
      </c>
      <c r="D136" s="4">
        <v>19</v>
      </c>
      <c r="E136" s="4" t="s">
        <v>155</v>
      </c>
      <c r="F136" s="70">
        <f>D128*10%</f>
        <v>4.6000000000000005</v>
      </c>
      <c r="K136"/>
      <c r="L136"/>
      <c r="M136"/>
      <c r="N136"/>
      <c r="O136"/>
      <c r="P136"/>
      <c r="Q136"/>
      <c r="R136"/>
      <c r="S136"/>
      <c r="T136"/>
    </row>
    <row r="137" spans="1:20" s="6" customFormat="1" x14ac:dyDescent="0.3">
      <c r="A137"/>
      <c r="C137" s="6" t="s">
        <v>150</v>
      </c>
      <c r="D137" s="4">
        <v>5</v>
      </c>
      <c r="E137" s="4">
        <v>15</v>
      </c>
      <c r="F137" s="70">
        <f>D128*15%</f>
        <v>6.8999999999999995</v>
      </c>
      <c r="K137"/>
      <c r="L137"/>
      <c r="M137"/>
      <c r="N137"/>
      <c r="O137"/>
      <c r="P137"/>
      <c r="Q137"/>
      <c r="R137"/>
      <c r="S137"/>
      <c r="T137"/>
    </row>
    <row r="138" spans="1:20" s="6" customFormat="1" x14ac:dyDescent="0.3">
      <c r="A138"/>
      <c r="C138" s="6" t="s">
        <v>151</v>
      </c>
      <c r="D138" s="4">
        <v>4</v>
      </c>
      <c r="E138" s="4">
        <v>20</v>
      </c>
      <c r="F138" s="70">
        <f>D128*20%</f>
        <v>9.2000000000000011</v>
      </c>
      <c r="K138"/>
      <c r="L138"/>
      <c r="M138"/>
      <c r="N138"/>
      <c r="O138"/>
      <c r="P138"/>
      <c r="Q138"/>
      <c r="R138"/>
      <c r="S138"/>
      <c r="T138"/>
    </row>
    <row r="139" spans="1:20" s="6" customFormat="1" x14ac:dyDescent="0.3">
      <c r="A139"/>
      <c r="C139" s="6" t="s">
        <v>152</v>
      </c>
      <c r="D139" s="4">
        <v>19</v>
      </c>
      <c r="E139" s="4" t="s">
        <v>156</v>
      </c>
      <c r="F139" s="4">
        <f>D128*50%</f>
        <v>23</v>
      </c>
      <c r="K139"/>
      <c r="L139"/>
      <c r="M139"/>
      <c r="N139"/>
      <c r="O139"/>
      <c r="P139"/>
      <c r="Q139"/>
      <c r="R139"/>
      <c r="S139"/>
      <c r="T139"/>
    </row>
    <row r="140" spans="1:20" s="6" customFormat="1" x14ac:dyDescent="0.3">
      <c r="A140"/>
      <c r="E140" s="4"/>
      <c r="F140" s="4"/>
      <c r="K140"/>
      <c r="L140"/>
      <c r="M140"/>
      <c r="N140"/>
      <c r="O140"/>
      <c r="P140"/>
      <c r="Q140"/>
      <c r="R140"/>
      <c r="S140"/>
      <c r="T140"/>
    </row>
    <row r="141" spans="1:20" s="6" customFormat="1" x14ac:dyDescent="0.3">
      <c r="A141"/>
      <c r="D141" s="4"/>
      <c r="E141" s="4"/>
      <c r="F141" s="4"/>
      <c r="K141"/>
      <c r="L141"/>
      <c r="M141"/>
      <c r="N141"/>
      <c r="O141"/>
      <c r="P141"/>
      <c r="Q141"/>
      <c r="R141"/>
      <c r="S141"/>
      <c r="T141"/>
    </row>
    <row r="142" spans="1:20" s="6" customFormat="1" x14ac:dyDescent="0.3">
      <c r="A142"/>
      <c r="B142" s="6" t="s">
        <v>153</v>
      </c>
      <c r="D142" s="69">
        <v>24</v>
      </c>
      <c r="E142" s="4" t="s">
        <v>156</v>
      </c>
      <c r="F142" s="69">
        <f>D128*50%</f>
        <v>23</v>
      </c>
      <c r="K142"/>
      <c r="L142"/>
      <c r="M142"/>
      <c r="N142"/>
      <c r="O142"/>
      <c r="P142"/>
      <c r="Q142"/>
      <c r="R142"/>
      <c r="S142"/>
      <c r="T142"/>
    </row>
    <row r="143" spans="1:20" s="6" customFormat="1" x14ac:dyDescent="0.3">
      <c r="A143"/>
      <c r="D143" s="4"/>
      <c r="E143" s="4"/>
      <c r="K143"/>
      <c r="L143"/>
      <c r="M143"/>
      <c r="N143"/>
      <c r="O143"/>
      <c r="P143"/>
      <c r="Q143"/>
      <c r="R143"/>
      <c r="S143"/>
      <c r="T143"/>
    </row>
    <row r="144" spans="1:20" s="6" customFormat="1" x14ac:dyDescent="0.3">
      <c r="A144"/>
      <c r="B144" s="6" t="s">
        <v>154</v>
      </c>
      <c r="D144" s="69">
        <f>D128+D133+D135+D142</f>
        <v>118</v>
      </c>
      <c r="E144" s="4"/>
      <c r="F144" s="71">
        <f>F128+F133+F135+F142</f>
        <v>104.7</v>
      </c>
      <c r="K144"/>
      <c r="L144"/>
      <c r="M144"/>
      <c r="N144"/>
      <c r="O144"/>
      <c r="P144"/>
      <c r="Q144"/>
      <c r="R144"/>
      <c r="S144"/>
      <c r="T144"/>
    </row>
  </sheetData>
  <autoFilter ref="A2:Q2" xr:uid="{00000000-0009-0000-0000-000007000000}">
    <sortState xmlns:xlrd2="http://schemas.microsoft.com/office/spreadsheetml/2017/richdata2" ref="A3:Q54">
      <sortCondition ref="O2"/>
    </sortState>
  </autoFilter>
  <sortState xmlns:xlrd2="http://schemas.microsoft.com/office/spreadsheetml/2017/richdata2" ref="A3:O54">
    <sortCondition descending="1" ref="N3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44"/>
  <sheetViews>
    <sheetView zoomScaleNormal="100" workbookViewId="0">
      <pane xSplit="3" ySplit="2" topLeftCell="D31" activePane="bottomRight" state="frozen"/>
      <selection activeCell="I219" sqref="I219"/>
      <selection pane="topRight" activeCell="I219" sqref="I219"/>
      <selection pane="bottomLeft" activeCell="I219" sqref="I219"/>
      <selection pane="bottomRight" sqref="A1:XFD1"/>
    </sheetView>
  </sheetViews>
  <sheetFormatPr defaultRowHeight="14.4" x14ac:dyDescent="0.3"/>
  <cols>
    <col min="2" max="2" width="12.33203125" style="6" customWidth="1"/>
    <col min="3" max="3" width="16.33203125" style="6" bestFit="1" customWidth="1"/>
    <col min="4" max="4" width="12.109375" style="6" customWidth="1"/>
    <col min="5" max="5" width="13.5546875" style="6" bestFit="1" customWidth="1"/>
    <col min="6" max="6" width="12.109375" style="6" customWidth="1"/>
    <col min="7" max="7" width="15.5546875" style="6" bestFit="1" customWidth="1"/>
    <col min="8" max="9" width="15.5546875" style="6" customWidth="1"/>
    <col min="10" max="10" width="14.44140625" style="6" bestFit="1" customWidth="1"/>
    <col min="11" max="11" width="15.44140625" bestFit="1" customWidth="1"/>
    <col min="12" max="12" width="9.33203125" customWidth="1"/>
    <col min="13" max="13" width="10.6640625" bestFit="1" customWidth="1"/>
    <col min="14" max="14" width="14.44140625" bestFit="1" customWidth="1"/>
    <col min="15" max="15" width="11.44140625" bestFit="1" customWidth="1"/>
    <col min="16" max="16" width="11.44140625" customWidth="1"/>
    <col min="17" max="18" width="13.109375" customWidth="1"/>
    <col min="19" max="19" width="12.6640625" customWidth="1"/>
    <col min="20" max="21" width="10.44140625" bestFit="1" customWidth="1"/>
  </cols>
  <sheetData>
    <row r="1" spans="1:25" x14ac:dyDescent="0.3">
      <c r="N1" s="62">
        <v>44565</v>
      </c>
    </row>
    <row r="2" spans="1:25" x14ac:dyDescent="0.3">
      <c r="A2" s="61" t="s">
        <v>0</v>
      </c>
      <c r="B2" s="61" t="s">
        <v>1</v>
      </c>
      <c r="C2" s="61" t="s">
        <v>2</v>
      </c>
      <c r="D2" s="61" t="s">
        <v>104</v>
      </c>
      <c r="E2" s="61" t="s">
        <v>100</v>
      </c>
      <c r="F2" s="61" t="s">
        <v>101</v>
      </c>
      <c r="G2" s="61" t="s">
        <v>102</v>
      </c>
      <c r="H2" s="61" t="s">
        <v>116</v>
      </c>
      <c r="I2" s="61" t="s">
        <v>117</v>
      </c>
      <c r="J2" s="61" t="s">
        <v>103</v>
      </c>
      <c r="K2" s="61" t="s">
        <v>158</v>
      </c>
      <c r="L2" s="61" t="s">
        <v>106</v>
      </c>
      <c r="M2" s="61" t="s">
        <v>99</v>
      </c>
      <c r="N2" s="61" t="s">
        <v>159</v>
      </c>
      <c r="O2" s="67" t="s">
        <v>97</v>
      </c>
      <c r="P2" s="67"/>
      <c r="Q2" s="66" t="s">
        <v>118</v>
      </c>
      <c r="R2" s="67"/>
      <c r="T2" s="67" t="s">
        <v>295</v>
      </c>
      <c r="U2" s="67" t="s">
        <v>296</v>
      </c>
      <c r="V2" s="67" t="s">
        <v>297</v>
      </c>
      <c r="W2" s="67" t="s">
        <v>298</v>
      </c>
      <c r="X2" s="67" t="s">
        <v>299</v>
      </c>
      <c r="Y2" s="67" t="s">
        <v>300</v>
      </c>
    </row>
    <row r="3" spans="1:25" x14ac:dyDescent="0.3">
      <c r="A3" s="51">
        <v>1</v>
      </c>
      <c r="B3" s="52" t="s">
        <v>49</v>
      </c>
      <c r="C3" s="53" t="s">
        <v>50</v>
      </c>
      <c r="D3" s="53" t="s">
        <v>109</v>
      </c>
      <c r="E3" s="56">
        <v>37029</v>
      </c>
      <c r="F3" s="64"/>
      <c r="G3" s="64"/>
      <c r="H3" s="64"/>
      <c r="I3" s="63"/>
      <c r="J3" s="58"/>
      <c r="K3" s="55">
        <v>44836</v>
      </c>
      <c r="L3" s="55" t="s">
        <v>157</v>
      </c>
      <c r="M3" s="99">
        <v>44652</v>
      </c>
      <c r="N3" s="81">
        <v>1</v>
      </c>
      <c r="O3" s="62">
        <f>(315-((N3*30)+5))+$N$1</f>
        <v>44845</v>
      </c>
      <c r="P3" s="62"/>
      <c r="Q3" s="79">
        <f>O3+280</f>
        <v>45125</v>
      </c>
      <c r="R3" s="80"/>
      <c r="S3" s="62">
        <f>O3+390</f>
        <v>45235</v>
      </c>
      <c r="T3" s="62"/>
    </row>
    <row r="4" spans="1:25" x14ac:dyDescent="0.3">
      <c r="A4" s="51">
        <v>2</v>
      </c>
      <c r="B4" s="52" t="s">
        <v>31</v>
      </c>
      <c r="C4" s="53" t="s">
        <v>32</v>
      </c>
      <c r="D4" s="53" t="s">
        <v>109</v>
      </c>
      <c r="E4" s="56">
        <v>39094</v>
      </c>
      <c r="F4" s="64"/>
      <c r="G4" s="64"/>
      <c r="H4" s="64"/>
      <c r="I4" s="63"/>
      <c r="J4" s="58"/>
      <c r="K4" s="119" t="s">
        <v>181</v>
      </c>
      <c r="L4" s="55" t="s">
        <v>157</v>
      </c>
      <c r="M4" s="99">
        <v>44652</v>
      </c>
      <c r="N4" s="81">
        <v>1</v>
      </c>
      <c r="O4" s="62">
        <f t="shared" ref="O4:O31" si="0">(315-((N4*30)+5))+$N$1</f>
        <v>44845</v>
      </c>
      <c r="P4" s="62"/>
      <c r="Q4" s="79">
        <f t="shared" ref="Q4:Q33" si="1">O4+280</f>
        <v>45125</v>
      </c>
      <c r="R4" s="62"/>
      <c r="S4" s="62">
        <f t="shared" ref="S4:S33" si="2">O4+390</f>
        <v>45235</v>
      </c>
      <c r="T4" s="62"/>
    </row>
    <row r="5" spans="1:25" x14ac:dyDescent="0.3">
      <c r="A5" s="51">
        <v>3</v>
      </c>
      <c r="B5" s="52" t="s">
        <v>81</v>
      </c>
      <c r="C5" s="53" t="s">
        <v>82</v>
      </c>
      <c r="D5" s="53" t="s">
        <v>109</v>
      </c>
      <c r="E5" s="56">
        <v>40230</v>
      </c>
      <c r="F5" s="64"/>
      <c r="G5" s="64"/>
      <c r="H5" s="64"/>
      <c r="I5" s="63"/>
      <c r="J5" s="58"/>
      <c r="K5" s="119" t="s">
        <v>182</v>
      </c>
      <c r="L5" s="55" t="s">
        <v>160</v>
      </c>
      <c r="M5" s="99">
        <v>44652</v>
      </c>
      <c r="N5" s="81">
        <v>0</v>
      </c>
      <c r="O5" s="62">
        <f>(315-((N5*30)+5))+$N$1</f>
        <v>44875</v>
      </c>
      <c r="P5" s="62"/>
      <c r="Q5" s="79">
        <f t="shared" si="1"/>
        <v>45155</v>
      </c>
      <c r="S5" s="62">
        <f t="shared" si="2"/>
        <v>45265</v>
      </c>
      <c r="T5" s="62"/>
    </row>
    <row r="6" spans="1:25" x14ac:dyDescent="0.3">
      <c r="A6" s="51">
        <v>4</v>
      </c>
      <c r="B6" s="52"/>
      <c r="C6" s="53"/>
      <c r="D6" s="53"/>
      <c r="E6" s="56"/>
      <c r="F6" s="64"/>
      <c r="G6" s="64"/>
      <c r="H6" s="64"/>
      <c r="I6" s="63"/>
      <c r="J6" s="58"/>
      <c r="K6" s="55"/>
      <c r="L6" s="55"/>
      <c r="M6" s="99">
        <v>44652</v>
      </c>
      <c r="N6" s="81"/>
      <c r="O6" s="62">
        <f t="shared" si="0"/>
        <v>44875</v>
      </c>
      <c r="P6" s="62"/>
      <c r="Q6" s="79">
        <f t="shared" si="1"/>
        <v>45155</v>
      </c>
      <c r="S6" s="62">
        <f t="shared" si="2"/>
        <v>45265</v>
      </c>
      <c r="T6" s="62"/>
    </row>
    <row r="7" spans="1:25" s="92" customFormat="1" x14ac:dyDescent="0.3">
      <c r="A7" s="51">
        <v>5</v>
      </c>
      <c r="B7" s="52"/>
      <c r="C7" s="53"/>
      <c r="D7" s="53"/>
      <c r="E7" s="56"/>
      <c r="F7" s="64"/>
      <c r="G7" s="64"/>
      <c r="H7" s="64"/>
      <c r="I7" s="63"/>
      <c r="J7" s="58"/>
      <c r="K7" s="55"/>
      <c r="L7" s="55"/>
      <c r="M7" s="99">
        <v>44652</v>
      </c>
      <c r="N7" s="81"/>
      <c r="O7" s="62">
        <f t="shared" si="0"/>
        <v>44875</v>
      </c>
      <c r="P7" s="62"/>
      <c r="Q7" s="79">
        <f t="shared" si="1"/>
        <v>45155</v>
      </c>
      <c r="R7"/>
      <c r="S7" s="62">
        <f t="shared" si="2"/>
        <v>45265</v>
      </c>
      <c r="T7" s="90"/>
    </row>
    <row r="8" spans="1:25" x14ac:dyDescent="0.3">
      <c r="A8" s="51">
        <v>6</v>
      </c>
      <c r="B8" s="52"/>
      <c r="C8" s="53"/>
      <c r="D8" s="53"/>
      <c r="E8" s="56"/>
      <c r="F8" s="64"/>
      <c r="G8" s="64"/>
      <c r="H8" s="64"/>
      <c r="I8" s="63"/>
      <c r="J8" s="58"/>
      <c r="K8" s="55"/>
      <c r="L8" s="55"/>
      <c r="M8" s="99">
        <v>44652</v>
      </c>
      <c r="N8" s="81"/>
      <c r="O8" s="62">
        <f t="shared" si="0"/>
        <v>44875</v>
      </c>
      <c r="P8" s="62"/>
      <c r="Q8" s="79">
        <f t="shared" si="1"/>
        <v>45155</v>
      </c>
      <c r="S8" s="62">
        <f t="shared" si="2"/>
        <v>45265</v>
      </c>
      <c r="T8" s="62"/>
    </row>
    <row r="9" spans="1:25" x14ac:dyDescent="0.3">
      <c r="A9" s="51">
        <v>7</v>
      </c>
      <c r="B9" s="52"/>
      <c r="C9" s="53"/>
      <c r="D9" s="53"/>
      <c r="E9" s="56"/>
      <c r="F9" s="64"/>
      <c r="G9" s="64"/>
      <c r="H9" s="64"/>
      <c r="I9" s="63"/>
      <c r="J9" s="58"/>
      <c r="K9" s="55"/>
      <c r="L9" s="55"/>
      <c r="M9" s="99">
        <v>44652</v>
      </c>
      <c r="N9" s="81"/>
      <c r="O9" s="62">
        <f t="shared" si="0"/>
        <v>44875</v>
      </c>
      <c r="P9" s="62"/>
      <c r="Q9" s="79">
        <f t="shared" si="1"/>
        <v>45155</v>
      </c>
      <c r="S9" s="62">
        <f t="shared" si="2"/>
        <v>45265</v>
      </c>
      <c r="T9" s="62"/>
    </row>
    <row r="10" spans="1:25" x14ac:dyDescent="0.3">
      <c r="A10" s="51">
        <v>8</v>
      </c>
      <c r="B10" s="52"/>
      <c r="C10" s="53"/>
      <c r="D10" s="53"/>
      <c r="E10" s="56"/>
      <c r="F10" s="64"/>
      <c r="G10" s="64"/>
      <c r="H10" s="64"/>
      <c r="I10" s="63"/>
      <c r="J10" s="58"/>
      <c r="K10" s="55"/>
      <c r="L10" s="55"/>
      <c r="M10" s="99">
        <v>44652</v>
      </c>
      <c r="N10" s="81"/>
      <c r="O10" s="62">
        <f t="shared" si="0"/>
        <v>44875</v>
      </c>
      <c r="P10" s="62"/>
      <c r="Q10" s="79">
        <f t="shared" si="1"/>
        <v>45155</v>
      </c>
      <c r="S10" s="62">
        <f t="shared" si="2"/>
        <v>45265</v>
      </c>
      <c r="T10" s="62"/>
    </row>
    <row r="11" spans="1:25" x14ac:dyDescent="0.3">
      <c r="A11" s="51">
        <v>9</v>
      </c>
      <c r="B11" s="52"/>
      <c r="C11" s="53"/>
      <c r="D11" s="53"/>
      <c r="E11" s="56"/>
      <c r="F11" s="64"/>
      <c r="G11" s="64"/>
      <c r="H11" s="64"/>
      <c r="I11" s="63"/>
      <c r="J11" s="58"/>
      <c r="K11" s="55"/>
      <c r="L11" s="55"/>
      <c r="M11" s="99">
        <v>44652</v>
      </c>
      <c r="N11" s="81"/>
      <c r="O11" s="62">
        <f t="shared" si="0"/>
        <v>44875</v>
      </c>
      <c r="P11" s="62"/>
      <c r="Q11" s="79">
        <f t="shared" si="1"/>
        <v>45155</v>
      </c>
      <c r="S11" s="62">
        <f t="shared" si="2"/>
        <v>45265</v>
      </c>
      <c r="T11" s="62"/>
    </row>
    <row r="12" spans="1:25" x14ac:dyDescent="0.3">
      <c r="A12" s="51">
        <v>10</v>
      </c>
      <c r="B12" s="52"/>
      <c r="C12" s="53"/>
      <c r="D12" s="53"/>
      <c r="E12" s="56"/>
      <c r="F12" s="64"/>
      <c r="G12" s="64"/>
      <c r="H12" s="64"/>
      <c r="I12" s="63"/>
      <c r="J12" s="58"/>
      <c r="K12" s="55"/>
      <c r="L12" s="55"/>
      <c r="M12" s="99">
        <v>44652</v>
      </c>
      <c r="N12" s="81"/>
      <c r="O12" s="62">
        <f t="shared" si="0"/>
        <v>44875</v>
      </c>
      <c r="P12" s="62"/>
      <c r="Q12" s="79">
        <f t="shared" si="1"/>
        <v>45155</v>
      </c>
      <c r="S12" s="62">
        <f t="shared" si="2"/>
        <v>45265</v>
      </c>
      <c r="T12" s="62"/>
    </row>
    <row r="13" spans="1:25" x14ac:dyDescent="0.3">
      <c r="A13" s="51">
        <v>11</v>
      </c>
      <c r="B13" s="52"/>
      <c r="C13" s="53"/>
      <c r="D13" s="53"/>
      <c r="E13" s="56"/>
      <c r="F13" s="64"/>
      <c r="G13" s="64"/>
      <c r="H13" s="64"/>
      <c r="I13" s="63"/>
      <c r="J13" s="58"/>
      <c r="K13" s="55"/>
      <c r="L13" s="55"/>
      <c r="M13" s="99">
        <v>44652</v>
      </c>
      <c r="N13" s="81"/>
      <c r="O13" s="62">
        <f t="shared" si="0"/>
        <v>44875</v>
      </c>
      <c r="P13" s="62"/>
      <c r="Q13" s="79">
        <f t="shared" si="1"/>
        <v>45155</v>
      </c>
      <c r="S13" s="62">
        <f t="shared" si="2"/>
        <v>45265</v>
      </c>
      <c r="T13" s="62"/>
    </row>
    <row r="14" spans="1:25" x14ac:dyDescent="0.3">
      <c r="A14" s="51">
        <v>12</v>
      </c>
      <c r="B14" s="52"/>
      <c r="C14" s="53"/>
      <c r="D14" s="53"/>
      <c r="E14" s="56"/>
      <c r="F14" s="64"/>
      <c r="G14" s="64"/>
      <c r="H14" s="64"/>
      <c r="I14" s="63"/>
      <c r="J14" s="58"/>
      <c r="K14" s="55"/>
      <c r="L14" s="55"/>
      <c r="M14" s="99">
        <v>44652</v>
      </c>
      <c r="N14" s="81"/>
      <c r="O14" s="62">
        <f t="shared" si="0"/>
        <v>44875</v>
      </c>
      <c r="P14" s="62"/>
      <c r="Q14" s="79">
        <f t="shared" si="1"/>
        <v>45155</v>
      </c>
      <c r="S14" s="62">
        <f t="shared" si="2"/>
        <v>45265</v>
      </c>
      <c r="T14" s="62"/>
    </row>
    <row r="15" spans="1:25" x14ac:dyDescent="0.3">
      <c r="A15" s="51">
        <v>13</v>
      </c>
      <c r="B15" s="52"/>
      <c r="C15" s="53"/>
      <c r="D15" s="53"/>
      <c r="E15" s="56"/>
      <c r="F15" s="64"/>
      <c r="G15" s="64"/>
      <c r="H15" s="64"/>
      <c r="I15" s="63"/>
      <c r="J15" s="58"/>
      <c r="K15" s="55"/>
      <c r="L15" s="55"/>
      <c r="M15" s="99">
        <v>44652</v>
      </c>
      <c r="N15" s="81"/>
      <c r="O15" s="62">
        <f t="shared" si="0"/>
        <v>44875</v>
      </c>
      <c r="P15" s="62"/>
      <c r="Q15" s="79">
        <f t="shared" si="1"/>
        <v>45155</v>
      </c>
      <c r="S15" s="62">
        <f t="shared" si="2"/>
        <v>45265</v>
      </c>
      <c r="T15" s="62"/>
    </row>
    <row r="16" spans="1:25" x14ac:dyDescent="0.3">
      <c r="A16" s="51">
        <v>14</v>
      </c>
      <c r="B16" s="52"/>
      <c r="C16" s="53"/>
      <c r="D16" s="53"/>
      <c r="E16" s="56"/>
      <c r="F16" s="64"/>
      <c r="G16" s="64"/>
      <c r="H16" s="64"/>
      <c r="I16" s="63"/>
      <c r="J16" s="58"/>
      <c r="K16" s="55"/>
      <c r="L16" s="55"/>
      <c r="M16" s="99">
        <v>44652</v>
      </c>
      <c r="N16" s="81"/>
      <c r="O16" s="62">
        <f t="shared" si="0"/>
        <v>44875</v>
      </c>
      <c r="P16" s="62"/>
      <c r="Q16" s="79">
        <f t="shared" si="1"/>
        <v>45155</v>
      </c>
      <c r="S16" s="62">
        <f t="shared" si="2"/>
        <v>45265</v>
      </c>
      <c r="T16" s="62"/>
    </row>
    <row r="17" spans="1:20" x14ac:dyDescent="0.3">
      <c r="A17" s="51">
        <v>15</v>
      </c>
      <c r="B17" s="52"/>
      <c r="C17" s="53"/>
      <c r="D17" s="53"/>
      <c r="E17" s="56"/>
      <c r="F17" s="64"/>
      <c r="G17" s="64"/>
      <c r="H17" s="64"/>
      <c r="I17" s="63"/>
      <c r="J17" s="58"/>
      <c r="K17" s="55"/>
      <c r="L17" s="55"/>
      <c r="M17" s="99">
        <v>44652</v>
      </c>
      <c r="N17" s="81"/>
      <c r="O17" s="62">
        <f t="shared" si="0"/>
        <v>44875</v>
      </c>
      <c r="P17" s="62"/>
      <c r="Q17" s="79">
        <f t="shared" si="1"/>
        <v>45155</v>
      </c>
      <c r="S17" s="62">
        <f t="shared" si="2"/>
        <v>45265</v>
      </c>
      <c r="T17" s="62"/>
    </row>
    <row r="18" spans="1:20" x14ac:dyDescent="0.3">
      <c r="A18" s="51">
        <v>16</v>
      </c>
      <c r="B18" s="52"/>
      <c r="C18" s="53"/>
      <c r="D18" s="53"/>
      <c r="E18" s="56"/>
      <c r="F18" s="64"/>
      <c r="G18" s="64"/>
      <c r="H18" s="64"/>
      <c r="I18" s="63"/>
      <c r="J18" s="58"/>
      <c r="K18" s="55"/>
      <c r="L18" s="55"/>
      <c r="M18" s="99">
        <v>44652</v>
      </c>
      <c r="N18" s="81"/>
      <c r="O18" s="62">
        <f t="shared" si="0"/>
        <v>44875</v>
      </c>
      <c r="P18" s="62"/>
      <c r="Q18" s="79">
        <f t="shared" si="1"/>
        <v>45155</v>
      </c>
      <c r="S18" s="62">
        <f t="shared" si="2"/>
        <v>45265</v>
      </c>
      <c r="T18" s="62"/>
    </row>
    <row r="19" spans="1:20" x14ac:dyDescent="0.3">
      <c r="A19" s="51">
        <v>17</v>
      </c>
      <c r="B19" s="52"/>
      <c r="C19" s="53"/>
      <c r="D19" s="53"/>
      <c r="E19" s="56"/>
      <c r="F19" s="64"/>
      <c r="G19" s="64"/>
      <c r="H19" s="64"/>
      <c r="I19" s="63"/>
      <c r="J19" s="58"/>
      <c r="K19" s="55"/>
      <c r="L19" s="55"/>
      <c r="M19" s="99">
        <v>44652</v>
      </c>
      <c r="N19" s="81"/>
      <c r="O19" s="62">
        <f t="shared" si="0"/>
        <v>44875</v>
      </c>
      <c r="P19" s="62"/>
      <c r="Q19" s="79">
        <f t="shared" si="1"/>
        <v>45155</v>
      </c>
      <c r="S19" s="62">
        <f t="shared" si="2"/>
        <v>45265</v>
      </c>
      <c r="T19" s="62"/>
    </row>
    <row r="20" spans="1:20" x14ac:dyDescent="0.3">
      <c r="A20" s="51">
        <v>18</v>
      </c>
      <c r="B20" s="52"/>
      <c r="C20" s="53"/>
      <c r="D20" s="53"/>
      <c r="E20" s="56"/>
      <c r="F20" s="64"/>
      <c r="G20" s="64"/>
      <c r="H20" s="64"/>
      <c r="I20" s="63"/>
      <c r="J20" s="58"/>
      <c r="K20" s="55"/>
      <c r="L20" s="55"/>
      <c r="M20" s="99">
        <v>44652</v>
      </c>
      <c r="N20" s="81"/>
      <c r="O20" s="62">
        <f t="shared" si="0"/>
        <v>44875</v>
      </c>
      <c r="P20" s="62"/>
      <c r="Q20" s="79">
        <f t="shared" si="1"/>
        <v>45155</v>
      </c>
      <c r="S20" s="62">
        <f t="shared" si="2"/>
        <v>45265</v>
      </c>
      <c r="T20" s="62"/>
    </row>
    <row r="21" spans="1:20" x14ac:dyDescent="0.3">
      <c r="A21" s="51">
        <v>19</v>
      </c>
      <c r="B21" s="52"/>
      <c r="C21" s="53"/>
      <c r="D21" s="53"/>
      <c r="E21" s="56"/>
      <c r="F21" s="64"/>
      <c r="G21" s="64"/>
      <c r="H21" s="64"/>
      <c r="I21" s="63"/>
      <c r="J21" s="58"/>
      <c r="K21" s="55"/>
      <c r="L21" s="55"/>
      <c r="M21" s="99">
        <v>44652</v>
      </c>
      <c r="N21" s="81"/>
      <c r="O21" s="62">
        <f t="shared" si="0"/>
        <v>44875</v>
      </c>
      <c r="P21" s="62"/>
      <c r="Q21" s="79">
        <f t="shared" si="1"/>
        <v>45155</v>
      </c>
      <c r="S21" s="62">
        <f t="shared" si="2"/>
        <v>45265</v>
      </c>
      <c r="T21" s="62"/>
    </row>
    <row r="22" spans="1:20" x14ac:dyDescent="0.3">
      <c r="A22" s="51">
        <v>20</v>
      </c>
      <c r="B22" s="104"/>
      <c r="C22" s="94"/>
      <c r="D22" s="94"/>
      <c r="E22" s="95"/>
      <c r="F22" s="96"/>
      <c r="G22" s="96"/>
      <c r="H22" s="96"/>
      <c r="I22" s="97"/>
      <c r="J22" s="98"/>
      <c r="K22" s="99"/>
      <c r="L22" s="107"/>
      <c r="M22" s="99">
        <v>44652</v>
      </c>
      <c r="N22" s="82"/>
      <c r="O22" s="62">
        <f t="shared" si="0"/>
        <v>44875</v>
      </c>
      <c r="P22" s="62"/>
      <c r="Q22" s="79">
        <f t="shared" si="1"/>
        <v>45155</v>
      </c>
      <c r="S22" s="62">
        <f t="shared" si="2"/>
        <v>45265</v>
      </c>
      <c r="T22" s="62"/>
    </row>
    <row r="23" spans="1:20" x14ac:dyDescent="0.3">
      <c r="A23" s="51">
        <v>21</v>
      </c>
      <c r="B23" s="103"/>
      <c r="C23" s="94"/>
      <c r="D23" s="94"/>
      <c r="E23" s="95"/>
      <c r="F23" s="96"/>
      <c r="G23" s="96"/>
      <c r="H23" s="96"/>
      <c r="I23" s="97"/>
      <c r="J23" s="98"/>
      <c r="K23" s="99"/>
      <c r="L23" s="107"/>
      <c r="M23" s="99">
        <v>44652</v>
      </c>
      <c r="N23" s="82"/>
      <c r="O23" s="62">
        <f t="shared" si="0"/>
        <v>44875</v>
      </c>
      <c r="P23" s="62"/>
      <c r="Q23" s="79">
        <f t="shared" si="1"/>
        <v>45155</v>
      </c>
      <c r="S23" s="62">
        <f t="shared" si="2"/>
        <v>45265</v>
      </c>
      <c r="T23" s="62"/>
    </row>
    <row r="24" spans="1:20" x14ac:dyDescent="0.3">
      <c r="A24" s="51">
        <v>22</v>
      </c>
      <c r="B24" s="52"/>
      <c r="C24" s="53"/>
      <c r="D24" s="53"/>
      <c r="E24" s="56"/>
      <c r="F24" s="64"/>
      <c r="G24" s="64"/>
      <c r="H24" s="64"/>
      <c r="I24" s="63"/>
      <c r="J24" s="58"/>
      <c r="K24" s="55"/>
      <c r="L24" s="55"/>
      <c r="M24" s="99">
        <v>44652</v>
      </c>
      <c r="N24" s="81"/>
      <c r="O24" s="62">
        <f t="shared" si="0"/>
        <v>44875</v>
      </c>
      <c r="P24" s="62"/>
      <c r="Q24" s="79">
        <f t="shared" si="1"/>
        <v>45155</v>
      </c>
      <c r="R24" s="80"/>
      <c r="S24" s="62">
        <f t="shared" si="2"/>
        <v>45265</v>
      </c>
      <c r="T24" s="62"/>
    </row>
    <row r="25" spans="1:20" x14ac:dyDescent="0.3">
      <c r="A25" s="51">
        <v>23</v>
      </c>
      <c r="B25" s="52"/>
      <c r="C25" s="53"/>
      <c r="D25" s="53"/>
      <c r="E25" s="56"/>
      <c r="F25" s="64"/>
      <c r="G25" s="64"/>
      <c r="H25" s="64"/>
      <c r="I25" s="63"/>
      <c r="J25" s="58"/>
      <c r="K25" s="55"/>
      <c r="L25" s="55"/>
      <c r="M25" s="99">
        <v>44652</v>
      </c>
      <c r="N25" s="81"/>
      <c r="O25" s="62">
        <f t="shared" si="0"/>
        <v>44875</v>
      </c>
      <c r="P25" s="62"/>
      <c r="Q25" s="79">
        <f t="shared" si="1"/>
        <v>45155</v>
      </c>
      <c r="R25" s="80"/>
      <c r="S25" s="62">
        <f t="shared" si="2"/>
        <v>45265</v>
      </c>
      <c r="T25" s="62"/>
    </row>
    <row r="26" spans="1:20" x14ac:dyDescent="0.3">
      <c r="A26" s="51">
        <v>24</v>
      </c>
      <c r="B26" s="52"/>
      <c r="C26" s="53"/>
      <c r="D26" s="53"/>
      <c r="E26" s="56"/>
      <c r="F26" s="64"/>
      <c r="G26" s="64"/>
      <c r="H26" s="64"/>
      <c r="I26" s="63"/>
      <c r="J26" s="58"/>
      <c r="K26" s="55"/>
      <c r="L26" s="55"/>
      <c r="M26" s="99">
        <v>44652</v>
      </c>
      <c r="N26" s="91"/>
      <c r="O26" s="62">
        <f t="shared" si="0"/>
        <v>44875</v>
      </c>
      <c r="P26" s="62"/>
      <c r="Q26" s="79">
        <f t="shared" si="1"/>
        <v>45155</v>
      </c>
      <c r="S26" s="62">
        <f t="shared" si="2"/>
        <v>45265</v>
      </c>
      <c r="T26" s="62"/>
    </row>
    <row r="27" spans="1:20" x14ac:dyDescent="0.3">
      <c r="A27" s="51">
        <v>25</v>
      </c>
      <c r="B27" s="52"/>
      <c r="C27" s="53"/>
      <c r="D27" s="53"/>
      <c r="E27" s="56"/>
      <c r="F27" s="64"/>
      <c r="G27" s="64"/>
      <c r="H27" s="64"/>
      <c r="I27" s="63"/>
      <c r="J27" s="58"/>
      <c r="K27" s="55"/>
      <c r="L27" s="55"/>
      <c r="M27" s="99">
        <v>44652</v>
      </c>
      <c r="N27" s="81"/>
      <c r="O27" s="62">
        <f t="shared" si="0"/>
        <v>44875</v>
      </c>
      <c r="P27" s="62"/>
      <c r="Q27" s="79">
        <f t="shared" si="1"/>
        <v>45155</v>
      </c>
      <c r="S27" s="62">
        <f t="shared" si="2"/>
        <v>45265</v>
      </c>
      <c r="T27" s="62"/>
    </row>
    <row r="28" spans="1:20" x14ac:dyDescent="0.3">
      <c r="A28" s="51">
        <v>26</v>
      </c>
      <c r="B28" s="52"/>
      <c r="C28" s="53"/>
      <c r="D28" s="53"/>
      <c r="E28" s="56"/>
      <c r="F28" s="64"/>
      <c r="G28" s="64"/>
      <c r="H28" s="64"/>
      <c r="I28" s="63"/>
      <c r="J28" s="58"/>
      <c r="K28" s="55"/>
      <c r="L28" s="55"/>
      <c r="M28" s="99">
        <v>44652</v>
      </c>
      <c r="N28" s="81"/>
      <c r="O28" s="62">
        <f t="shared" si="0"/>
        <v>44875</v>
      </c>
      <c r="P28" s="62"/>
      <c r="Q28" s="79">
        <f t="shared" si="1"/>
        <v>45155</v>
      </c>
      <c r="R28" s="92"/>
      <c r="S28" s="62">
        <f t="shared" si="2"/>
        <v>45265</v>
      </c>
      <c r="T28" s="62"/>
    </row>
    <row r="29" spans="1:20" x14ac:dyDescent="0.3">
      <c r="A29" s="51">
        <v>27</v>
      </c>
      <c r="B29" s="52"/>
      <c r="C29" s="53"/>
      <c r="D29" s="53"/>
      <c r="E29" s="56"/>
      <c r="F29" s="64"/>
      <c r="G29" s="64"/>
      <c r="H29" s="64"/>
      <c r="I29" s="63"/>
      <c r="J29" s="58"/>
      <c r="K29" s="55"/>
      <c r="L29" s="55"/>
      <c r="M29" s="99">
        <v>44652</v>
      </c>
      <c r="N29" s="81"/>
      <c r="O29" s="62">
        <f t="shared" si="0"/>
        <v>44875</v>
      </c>
      <c r="P29" s="62"/>
      <c r="Q29" s="79">
        <f t="shared" si="1"/>
        <v>45155</v>
      </c>
      <c r="S29" s="62">
        <f t="shared" si="2"/>
        <v>45265</v>
      </c>
      <c r="T29" s="62"/>
    </row>
    <row r="30" spans="1:20" x14ac:dyDescent="0.3">
      <c r="A30" s="51">
        <v>28</v>
      </c>
      <c r="B30" s="52"/>
      <c r="C30" s="53"/>
      <c r="D30" s="53"/>
      <c r="E30" s="56"/>
      <c r="F30" s="64"/>
      <c r="G30" s="64"/>
      <c r="H30" s="64"/>
      <c r="I30" s="63"/>
      <c r="J30" s="58"/>
      <c r="K30" s="55"/>
      <c r="L30" s="55"/>
      <c r="M30" s="99">
        <v>44652</v>
      </c>
      <c r="N30" s="81"/>
      <c r="O30" s="62">
        <f t="shared" si="0"/>
        <v>44875</v>
      </c>
      <c r="P30" s="62"/>
      <c r="Q30" s="79">
        <f t="shared" si="1"/>
        <v>45155</v>
      </c>
      <c r="S30" s="62">
        <f t="shared" si="2"/>
        <v>45265</v>
      </c>
      <c r="T30" s="62"/>
    </row>
    <row r="31" spans="1:20" x14ac:dyDescent="0.3">
      <c r="A31" s="51">
        <v>29</v>
      </c>
      <c r="B31" s="51"/>
      <c r="C31" s="100"/>
      <c r="D31" s="53"/>
      <c r="E31" s="56"/>
      <c r="F31" s="64"/>
      <c r="G31" s="86"/>
      <c r="H31" s="102"/>
      <c r="I31" s="63"/>
      <c r="J31" s="59"/>
      <c r="K31" s="55"/>
      <c r="L31" s="55"/>
      <c r="M31" s="99">
        <v>44652</v>
      </c>
      <c r="N31" s="81"/>
      <c r="O31" s="62">
        <f t="shared" si="0"/>
        <v>44875</v>
      </c>
      <c r="P31" s="62"/>
      <c r="Q31" s="79">
        <f t="shared" si="1"/>
        <v>45155</v>
      </c>
      <c r="S31" s="62">
        <f t="shared" si="2"/>
        <v>45265</v>
      </c>
      <c r="T31" s="62"/>
    </row>
    <row r="32" spans="1:20" x14ac:dyDescent="0.3">
      <c r="A32" s="51">
        <v>30</v>
      </c>
      <c r="B32" s="52"/>
      <c r="C32" s="53"/>
      <c r="D32" s="53"/>
      <c r="E32" s="56"/>
      <c r="F32" s="64"/>
      <c r="G32" s="64"/>
      <c r="H32" s="64"/>
      <c r="I32" s="63"/>
      <c r="J32" s="58"/>
      <c r="K32" s="55"/>
      <c r="L32" s="55"/>
      <c r="M32" s="99">
        <v>44652</v>
      </c>
      <c r="N32" s="81"/>
      <c r="O32" s="62"/>
      <c r="P32" s="62"/>
      <c r="Q32" s="79">
        <f t="shared" si="1"/>
        <v>280</v>
      </c>
      <c r="S32" s="62">
        <f t="shared" si="2"/>
        <v>390</v>
      </c>
      <c r="T32" s="62"/>
    </row>
    <row r="33" spans="1:21" x14ac:dyDescent="0.3">
      <c r="A33" s="51">
        <v>31</v>
      </c>
      <c r="B33" s="52"/>
      <c r="C33" s="53"/>
      <c r="D33" s="53"/>
      <c r="E33" s="56"/>
      <c r="F33" s="64"/>
      <c r="G33" s="64"/>
      <c r="H33" s="64"/>
      <c r="I33" s="63"/>
      <c r="J33" s="58"/>
      <c r="K33" s="55"/>
      <c r="L33" s="55"/>
      <c r="M33" s="99"/>
      <c r="N33" s="81"/>
      <c r="O33" s="62"/>
      <c r="P33" s="62"/>
      <c r="Q33" s="79">
        <f t="shared" si="1"/>
        <v>280</v>
      </c>
      <c r="S33" s="62">
        <f t="shared" si="2"/>
        <v>390</v>
      </c>
      <c r="T33" s="62"/>
    </row>
    <row r="34" spans="1:21" x14ac:dyDescent="0.3">
      <c r="A34" s="51">
        <v>32</v>
      </c>
      <c r="B34" s="104"/>
      <c r="C34" s="94"/>
      <c r="D34" s="94"/>
      <c r="E34" s="95"/>
      <c r="F34" s="96"/>
      <c r="G34" s="96"/>
      <c r="H34" s="96"/>
      <c r="I34" s="97"/>
      <c r="J34" s="98"/>
      <c r="K34" s="99"/>
      <c r="L34" s="107"/>
      <c r="M34" s="99"/>
      <c r="N34" s="82"/>
      <c r="O34" s="62"/>
      <c r="P34" s="62"/>
      <c r="Q34" s="79">
        <f>K34+280</f>
        <v>280</v>
      </c>
      <c r="S34" s="62"/>
      <c r="T34" s="62"/>
      <c r="U34" s="62">
        <v>44226</v>
      </c>
    </row>
    <row r="35" spans="1:21" x14ac:dyDescent="0.3">
      <c r="A35" s="51">
        <v>33</v>
      </c>
      <c r="B35" s="103"/>
      <c r="C35" s="94"/>
      <c r="D35" s="94"/>
      <c r="E35" s="95"/>
      <c r="F35" s="96"/>
      <c r="G35" s="96"/>
      <c r="H35" s="96"/>
      <c r="I35" s="97"/>
      <c r="J35" s="98"/>
      <c r="K35" s="99"/>
      <c r="L35" s="107"/>
      <c r="M35" s="99"/>
      <c r="N35" s="82"/>
      <c r="O35" s="62"/>
      <c r="P35" s="62"/>
      <c r="Q35" s="79">
        <f t="shared" ref="Q35:Q51" si="3">K35+280</f>
        <v>280</v>
      </c>
      <c r="S35" s="62"/>
      <c r="T35" s="62"/>
      <c r="U35" s="62">
        <v>44380</v>
      </c>
    </row>
    <row r="36" spans="1:21" x14ac:dyDescent="0.3">
      <c r="A36" s="51">
        <v>34</v>
      </c>
      <c r="B36" s="52"/>
      <c r="C36" s="53"/>
      <c r="D36" s="53"/>
      <c r="E36" s="56"/>
      <c r="F36" s="64"/>
      <c r="G36" s="64"/>
      <c r="H36" s="64"/>
      <c r="I36" s="63"/>
      <c r="J36" s="58"/>
      <c r="K36" s="55"/>
      <c r="L36" s="55"/>
      <c r="M36" s="99"/>
      <c r="N36" s="81"/>
      <c r="O36" s="62"/>
      <c r="P36" s="62"/>
      <c r="Q36" s="79">
        <f t="shared" si="3"/>
        <v>280</v>
      </c>
      <c r="R36" s="80"/>
      <c r="S36" s="62">
        <f t="shared" ref="S36:S41" si="4">M36+420</f>
        <v>420</v>
      </c>
      <c r="T36" s="62"/>
      <c r="U36" s="62">
        <v>44499</v>
      </c>
    </row>
    <row r="37" spans="1:21" x14ac:dyDescent="0.3">
      <c r="A37" s="51">
        <v>35</v>
      </c>
      <c r="B37" s="52"/>
      <c r="C37" s="53"/>
      <c r="D37" s="60"/>
      <c r="E37" s="56"/>
      <c r="F37" s="64"/>
      <c r="G37" s="64"/>
      <c r="H37" s="64"/>
      <c r="I37" s="63"/>
      <c r="J37" s="58"/>
      <c r="K37" s="55"/>
      <c r="L37" s="55"/>
      <c r="M37" s="99"/>
      <c r="N37" s="81"/>
      <c r="O37" s="62"/>
      <c r="P37" s="62"/>
      <c r="Q37" s="79">
        <f t="shared" si="3"/>
        <v>280</v>
      </c>
      <c r="R37" s="80"/>
      <c r="S37" s="62">
        <f t="shared" si="4"/>
        <v>420</v>
      </c>
      <c r="T37" s="62"/>
      <c r="U37" s="62">
        <v>44520</v>
      </c>
    </row>
    <row r="38" spans="1:21" x14ac:dyDescent="0.3">
      <c r="A38" s="51">
        <v>36</v>
      </c>
      <c r="B38" s="52"/>
      <c r="C38" s="53"/>
      <c r="D38" s="53"/>
      <c r="E38" s="56"/>
      <c r="F38" s="64"/>
      <c r="G38" s="64"/>
      <c r="H38" s="64"/>
      <c r="I38" s="63"/>
      <c r="J38" s="58"/>
      <c r="K38" s="55"/>
      <c r="L38" s="55"/>
      <c r="M38" s="99"/>
      <c r="N38" s="81"/>
      <c r="O38" s="62"/>
      <c r="P38" s="62"/>
      <c r="Q38" s="79">
        <f t="shared" si="3"/>
        <v>280</v>
      </c>
      <c r="S38" s="62">
        <f t="shared" si="4"/>
        <v>420</v>
      </c>
      <c r="T38" s="62"/>
      <c r="U38" s="62">
        <v>44527</v>
      </c>
    </row>
    <row r="39" spans="1:21" x14ac:dyDescent="0.3">
      <c r="A39" s="51">
        <v>37</v>
      </c>
      <c r="B39" s="52"/>
      <c r="C39" s="53"/>
      <c r="D39" s="53"/>
      <c r="E39" s="56"/>
      <c r="F39" s="64"/>
      <c r="G39" s="64"/>
      <c r="H39" s="64"/>
      <c r="I39" s="63"/>
      <c r="J39" s="58"/>
      <c r="K39" s="55"/>
      <c r="L39" s="55"/>
      <c r="M39" s="99"/>
      <c r="N39" s="81"/>
      <c r="O39" s="62"/>
      <c r="P39" s="62"/>
      <c r="Q39" s="79">
        <f t="shared" si="3"/>
        <v>280</v>
      </c>
      <c r="S39" s="62">
        <f t="shared" si="4"/>
        <v>420</v>
      </c>
      <c r="T39" s="62"/>
      <c r="U39" s="62">
        <v>44534</v>
      </c>
    </row>
    <row r="40" spans="1:21" x14ac:dyDescent="0.3">
      <c r="A40" s="51">
        <v>38</v>
      </c>
      <c r="B40" s="52"/>
      <c r="C40" s="53"/>
      <c r="D40" s="53"/>
      <c r="E40" s="56"/>
      <c r="F40" s="64"/>
      <c r="G40" s="64"/>
      <c r="H40" s="64"/>
      <c r="I40" s="63"/>
      <c r="J40" s="58"/>
      <c r="K40" s="55"/>
      <c r="L40" s="55"/>
      <c r="M40" s="99"/>
      <c r="N40" s="81"/>
      <c r="O40" s="62"/>
      <c r="P40" s="62"/>
      <c r="Q40" s="79">
        <f t="shared" si="3"/>
        <v>280</v>
      </c>
      <c r="S40" s="62">
        <f t="shared" si="4"/>
        <v>420</v>
      </c>
      <c r="T40" s="62"/>
      <c r="U40" s="62">
        <v>44544</v>
      </c>
    </row>
    <row r="41" spans="1:21" x14ac:dyDescent="0.3">
      <c r="A41" s="51">
        <v>39</v>
      </c>
      <c r="B41" s="52"/>
      <c r="C41" s="53"/>
      <c r="D41" s="53"/>
      <c r="E41" s="56"/>
      <c r="F41" s="64"/>
      <c r="G41" s="64"/>
      <c r="H41" s="64"/>
      <c r="I41" s="63"/>
      <c r="J41" s="58"/>
      <c r="K41" s="55"/>
      <c r="L41" s="55"/>
      <c r="M41" s="99"/>
      <c r="N41" s="81"/>
      <c r="O41" s="62"/>
      <c r="P41" s="62"/>
      <c r="Q41" s="79">
        <f t="shared" si="3"/>
        <v>280</v>
      </c>
      <c r="S41" s="62">
        <f t="shared" si="4"/>
        <v>420</v>
      </c>
      <c r="T41" s="62"/>
      <c r="U41" s="62">
        <v>44546</v>
      </c>
    </row>
    <row r="42" spans="1:21" x14ac:dyDescent="0.3">
      <c r="A42" s="51">
        <v>40</v>
      </c>
      <c r="B42" s="52"/>
      <c r="C42" s="53"/>
      <c r="D42" s="53"/>
      <c r="E42" s="56"/>
      <c r="F42" s="64"/>
      <c r="G42" s="64"/>
      <c r="H42" s="64"/>
      <c r="I42" s="63"/>
      <c r="J42" s="58"/>
      <c r="K42" s="55"/>
      <c r="L42" s="55"/>
      <c r="M42" s="99"/>
      <c r="N42" s="81"/>
      <c r="O42" s="62"/>
      <c r="P42" s="62"/>
      <c r="Q42" s="79">
        <f t="shared" si="3"/>
        <v>280</v>
      </c>
      <c r="S42" s="62"/>
      <c r="T42" s="62"/>
      <c r="U42" s="62">
        <v>44551</v>
      </c>
    </row>
    <row r="43" spans="1:21" x14ac:dyDescent="0.3">
      <c r="A43" s="51">
        <v>41</v>
      </c>
      <c r="B43" s="83"/>
      <c r="C43" s="84"/>
      <c r="D43" s="84"/>
      <c r="E43" s="85"/>
      <c r="F43" s="86"/>
      <c r="G43" s="86"/>
      <c r="H43" s="86"/>
      <c r="I43" s="87"/>
      <c r="J43" s="88"/>
      <c r="K43" s="89"/>
      <c r="L43" s="55"/>
      <c r="M43" s="99"/>
      <c r="N43" s="81"/>
      <c r="O43" s="62"/>
      <c r="P43" s="62"/>
      <c r="Q43" s="79">
        <f t="shared" si="3"/>
        <v>280</v>
      </c>
      <c r="S43" s="62">
        <f>M43+420</f>
        <v>420</v>
      </c>
      <c r="T43" s="62"/>
      <c r="U43" s="62">
        <v>44552</v>
      </c>
    </row>
    <row r="44" spans="1:21" x14ac:dyDescent="0.3">
      <c r="A44" s="51">
        <v>42</v>
      </c>
      <c r="B44" s="52"/>
      <c r="C44" s="53"/>
      <c r="D44" s="53"/>
      <c r="E44" s="56"/>
      <c r="F44" s="64"/>
      <c r="G44" s="64"/>
      <c r="H44" s="64"/>
      <c r="I44" s="63"/>
      <c r="J44" s="58"/>
      <c r="K44" s="55"/>
      <c r="L44" s="55"/>
      <c r="M44" s="99"/>
      <c r="N44" s="81"/>
      <c r="O44" s="62"/>
      <c r="P44" s="62"/>
      <c r="Q44" s="79">
        <f t="shared" si="3"/>
        <v>280</v>
      </c>
      <c r="S44" s="62"/>
      <c r="T44" s="62"/>
      <c r="U44" s="62">
        <v>44557</v>
      </c>
    </row>
    <row r="45" spans="1:21" x14ac:dyDescent="0.3">
      <c r="A45" s="51">
        <v>43</v>
      </c>
      <c r="B45" s="52"/>
      <c r="C45" s="53"/>
      <c r="D45" s="53"/>
      <c r="E45" s="56"/>
      <c r="F45" s="64"/>
      <c r="G45" s="64"/>
      <c r="H45" s="64"/>
      <c r="I45" s="63"/>
      <c r="J45" s="58"/>
      <c r="K45" s="55"/>
      <c r="L45" s="55"/>
      <c r="M45" s="99"/>
      <c r="N45" s="81"/>
      <c r="O45" s="62"/>
      <c r="P45" s="62"/>
      <c r="Q45" s="79">
        <f t="shared" si="3"/>
        <v>280</v>
      </c>
      <c r="S45" s="62">
        <f t="shared" ref="S45:S51" si="5">M45+420</f>
        <v>420</v>
      </c>
      <c r="T45" s="62"/>
      <c r="U45" s="62">
        <v>44558</v>
      </c>
    </row>
    <row r="46" spans="1:21" x14ac:dyDescent="0.3">
      <c r="A46" s="51">
        <v>44</v>
      </c>
      <c r="B46" s="52"/>
      <c r="C46" s="53"/>
      <c r="D46" s="53"/>
      <c r="E46" s="56"/>
      <c r="F46" s="64"/>
      <c r="G46" s="64"/>
      <c r="H46" s="64"/>
      <c r="I46" s="63"/>
      <c r="J46" s="58"/>
      <c r="K46" s="55"/>
      <c r="L46" s="55"/>
      <c r="M46" s="99"/>
      <c r="N46" s="81"/>
      <c r="O46" s="62"/>
      <c r="P46" s="62"/>
      <c r="Q46" s="79">
        <f t="shared" si="3"/>
        <v>280</v>
      </c>
      <c r="S46" s="62">
        <f t="shared" si="5"/>
        <v>420</v>
      </c>
      <c r="T46" s="62"/>
      <c r="U46" s="62">
        <v>44564</v>
      </c>
    </row>
    <row r="47" spans="1:21" x14ac:dyDescent="0.3">
      <c r="A47" s="51">
        <v>45</v>
      </c>
      <c r="B47" s="52"/>
      <c r="C47" s="53"/>
      <c r="D47" s="53"/>
      <c r="E47" s="56"/>
      <c r="F47" s="64"/>
      <c r="G47" s="64"/>
      <c r="H47" s="64"/>
      <c r="I47" s="63"/>
      <c r="J47" s="58"/>
      <c r="K47" s="55"/>
      <c r="L47" s="55"/>
      <c r="M47" s="99"/>
      <c r="N47" s="81"/>
      <c r="O47" s="62"/>
      <c r="P47" s="62"/>
      <c r="Q47" s="79">
        <f t="shared" si="3"/>
        <v>280</v>
      </c>
      <c r="S47" s="62">
        <f t="shared" si="5"/>
        <v>420</v>
      </c>
      <c r="T47" s="62"/>
      <c r="U47" s="62">
        <v>44565</v>
      </c>
    </row>
    <row r="48" spans="1:21" x14ac:dyDescent="0.3">
      <c r="A48" s="51">
        <v>46</v>
      </c>
      <c r="B48" s="101"/>
      <c r="C48" s="84"/>
      <c r="D48" s="84"/>
      <c r="E48" s="85"/>
      <c r="F48" s="86"/>
      <c r="G48" s="86"/>
      <c r="H48" s="86"/>
      <c r="I48" s="87"/>
      <c r="J48" s="88"/>
      <c r="K48" s="89"/>
      <c r="L48" s="89"/>
      <c r="M48" s="99"/>
      <c r="N48" s="81"/>
      <c r="O48" s="62"/>
      <c r="P48" s="62"/>
      <c r="Q48" s="79">
        <f t="shared" si="3"/>
        <v>280</v>
      </c>
      <c r="S48" s="62">
        <f t="shared" si="5"/>
        <v>420</v>
      </c>
      <c r="T48" s="62"/>
      <c r="U48" s="62">
        <v>44565</v>
      </c>
    </row>
    <row r="49" spans="1:21" x14ac:dyDescent="0.3">
      <c r="A49" s="51">
        <v>47</v>
      </c>
      <c r="B49" s="52"/>
      <c r="C49" s="53"/>
      <c r="D49" s="53"/>
      <c r="E49" s="56"/>
      <c r="F49" s="64"/>
      <c r="G49" s="64"/>
      <c r="H49" s="64"/>
      <c r="I49" s="63"/>
      <c r="J49" s="58"/>
      <c r="K49" s="55"/>
      <c r="L49" s="55"/>
      <c r="M49" s="99"/>
      <c r="N49" s="81"/>
      <c r="O49" s="62"/>
      <c r="P49" s="62"/>
      <c r="Q49" s="79">
        <f t="shared" si="3"/>
        <v>280</v>
      </c>
      <c r="S49" s="62">
        <f t="shared" si="5"/>
        <v>420</v>
      </c>
      <c r="T49" s="62"/>
      <c r="U49" s="62">
        <v>44566</v>
      </c>
    </row>
    <row r="50" spans="1:21" x14ac:dyDescent="0.3">
      <c r="A50" s="51">
        <v>48</v>
      </c>
      <c r="B50" s="113"/>
      <c r="C50" s="94"/>
      <c r="D50" s="94"/>
      <c r="E50" s="95"/>
      <c r="F50" s="96"/>
      <c r="G50" s="96"/>
      <c r="H50" s="96"/>
      <c r="I50" s="97"/>
      <c r="J50" s="98"/>
      <c r="K50" s="99"/>
      <c r="L50" s="99"/>
      <c r="M50" s="99"/>
      <c r="N50" s="82"/>
      <c r="O50" s="62"/>
      <c r="P50" s="62"/>
      <c r="Q50" s="79">
        <f t="shared" si="3"/>
        <v>280</v>
      </c>
      <c r="S50" s="62">
        <f t="shared" si="5"/>
        <v>420</v>
      </c>
      <c r="T50" s="62"/>
      <c r="U50" s="62"/>
    </row>
    <row r="51" spans="1:21" x14ac:dyDescent="0.3">
      <c r="A51" s="51">
        <v>49</v>
      </c>
      <c r="B51" s="52"/>
      <c r="C51" s="53"/>
      <c r="D51" s="53"/>
      <c r="E51" s="56"/>
      <c r="F51" s="64"/>
      <c r="G51" s="64"/>
      <c r="H51" s="64"/>
      <c r="I51" s="63"/>
      <c r="J51" s="58"/>
      <c r="K51" s="55"/>
      <c r="L51" s="55"/>
      <c r="M51" s="99"/>
      <c r="N51" s="81"/>
      <c r="O51" s="62"/>
      <c r="P51" s="62"/>
      <c r="Q51" s="79">
        <f t="shared" si="3"/>
        <v>280</v>
      </c>
      <c r="S51" s="62">
        <f t="shared" si="5"/>
        <v>420</v>
      </c>
      <c r="T51" s="62"/>
    </row>
    <row r="52" spans="1:21" x14ac:dyDescent="0.3">
      <c r="A52" s="51">
        <v>50</v>
      </c>
      <c r="B52" s="51"/>
      <c r="C52" s="50"/>
      <c r="D52" s="53"/>
      <c r="E52" s="56"/>
      <c r="F52" s="50"/>
      <c r="G52" s="50"/>
      <c r="H52" s="50"/>
      <c r="I52" s="50"/>
      <c r="J52" s="59"/>
      <c r="K52" s="55"/>
      <c r="L52" s="55"/>
      <c r="M52" s="55"/>
      <c r="N52" s="81"/>
      <c r="O52" s="62"/>
      <c r="P52" s="62"/>
      <c r="S52" s="62"/>
    </row>
    <row r="53" spans="1:21" x14ac:dyDescent="0.3">
      <c r="A53" s="51">
        <v>51</v>
      </c>
      <c r="B53" s="51"/>
      <c r="C53" s="50"/>
      <c r="D53" s="53"/>
      <c r="E53" s="56"/>
      <c r="F53" s="50"/>
      <c r="G53" s="50"/>
      <c r="H53" s="50"/>
      <c r="I53" s="50"/>
      <c r="J53" s="59"/>
      <c r="K53" s="55"/>
      <c r="L53" s="55"/>
      <c r="M53" s="55"/>
      <c r="N53" s="81"/>
      <c r="O53" s="62"/>
      <c r="P53" s="62"/>
      <c r="T53" s="62"/>
    </row>
    <row r="54" spans="1:21" x14ac:dyDescent="0.3">
      <c r="A54" s="51">
        <v>52</v>
      </c>
      <c r="B54" s="51"/>
      <c r="C54" s="50"/>
      <c r="D54" s="53"/>
      <c r="E54" s="56"/>
      <c r="F54" s="50"/>
      <c r="G54" s="50"/>
      <c r="H54" s="50"/>
      <c r="I54" s="50"/>
      <c r="J54" s="59"/>
      <c r="K54" s="55"/>
      <c r="L54" s="55"/>
      <c r="M54" s="55"/>
      <c r="N54" s="81"/>
      <c r="O54" s="62"/>
      <c r="P54" s="62"/>
    </row>
    <row r="55" spans="1:21" x14ac:dyDescent="0.3">
      <c r="A55" s="51"/>
      <c r="B55" s="51"/>
      <c r="C55" s="50"/>
      <c r="D55" s="53"/>
      <c r="E55" s="56"/>
      <c r="F55" s="50"/>
      <c r="G55" s="50"/>
      <c r="H55" s="50"/>
      <c r="I55" s="50"/>
      <c r="J55" s="59"/>
      <c r="K55" s="55"/>
      <c r="L55" s="55"/>
      <c r="M55" s="55"/>
      <c r="N55" s="81"/>
      <c r="O55" s="62"/>
      <c r="P55" s="62"/>
    </row>
    <row r="56" spans="1:21" x14ac:dyDescent="0.3">
      <c r="A56" s="108" t="s">
        <v>166</v>
      </c>
      <c r="B56" s="51"/>
      <c r="C56" s="50"/>
      <c r="D56" s="53"/>
      <c r="E56" s="56"/>
      <c r="F56" s="50"/>
      <c r="G56" s="50"/>
      <c r="H56" s="50"/>
      <c r="I56" s="50"/>
      <c r="J56" s="59"/>
      <c r="K56" s="55"/>
      <c r="L56" s="55"/>
      <c r="M56" s="55"/>
      <c r="N56" s="81"/>
      <c r="O56" s="62"/>
      <c r="P56" s="62"/>
    </row>
    <row r="57" spans="1:21" x14ac:dyDescent="0.3">
      <c r="A57" s="51">
        <v>1</v>
      </c>
      <c r="B57" s="51">
        <v>777</v>
      </c>
      <c r="C57" s="50"/>
      <c r="D57" s="53" t="s">
        <v>109</v>
      </c>
      <c r="E57" s="56">
        <v>43141</v>
      </c>
      <c r="F57" s="50"/>
      <c r="G57" s="50"/>
      <c r="H57" s="50"/>
      <c r="I57" s="50"/>
      <c r="J57" s="59"/>
      <c r="K57" s="55"/>
      <c r="L57" s="55"/>
      <c r="M57" s="55"/>
      <c r="N57" s="81"/>
      <c r="O57" s="62"/>
      <c r="P57" s="62"/>
    </row>
    <row r="58" spans="1:21" x14ac:dyDescent="0.3">
      <c r="A58" s="51">
        <v>2</v>
      </c>
      <c r="B58" s="51">
        <v>779</v>
      </c>
      <c r="C58" s="50"/>
      <c r="D58" s="53" t="s">
        <v>108</v>
      </c>
      <c r="E58" s="56">
        <v>43166</v>
      </c>
      <c r="F58" s="50"/>
      <c r="G58" s="50"/>
      <c r="H58" s="50"/>
      <c r="I58" s="50"/>
      <c r="J58" s="59"/>
      <c r="K58" s="55"/>
      <c r="L58" s="55"/>
      <c r="M58" s="55"/>
      <c r="N58" s="81"/>
      <c r="O58" s="62"/>
      <c r="P58" s="62"/>
    </row>
    <row r="59" spans="1:21" x14ac:dyDescent="0.3">
      <c r="A59" s="51">
        <v>3</v>
      </c>
      <c r="B59" s="51">
        <v>780</v>
      </c>
      <c r="C59" s="50"/>
      <c r="D59" s="53" t="s">
        <v>109</v>
      </c>
      <c r="E59" s="56">
        <v>43178</v>
      </c>
      <c r="F59" s="50"/>
      <c r="G59" s="50"/>
      <c r="H59" s="50"/>
      <c r="I59" s="50"/>
      <c r="J59" s="59"/>
      <c r="K59" s="55"/>
      <c r="L59" s="55"/>
      <c r="M59" s="55"/>
      <c r="N59" s="81"/>
      <c r="O59" s="62"/>
      <c r="P59" s="62"/>
    </row>
    <row r="60" spans="1:21" x14ac:dyDescent="0.3">
      <c r="A60" s="51">
        <v>4</v>
      </c>
      <c r="B60" s="51">
        <v>782</v>
      </c>
      <c r="C60" s="50"/>
      <c r="D60" s="53" t="s">
        <v>109</v>
      </c>
      <c r="E60" s="56">
        <v>43187</v>
      </c>
      <c r="F60" s="50"/>
      <c r="G60" s="50"/>
      <c r="H60" s="50"/>
      <c r="I60" s="50"/>
      <c r="J60" s="59"/>
      <c r="K60" s="55"/>
      <c r="L60" s="55"/>
      <c r="M60" s="55"/>
      <c r="N60" s="81"/>
      <c r="O60" s="62"/>
      <c r="P60" s="62"/>
    </row>
    <row r="61" spans="1:21" x14ac:dyDescent="0.3">
      <c r="A61" s="51">
        <v>5</v>
      </c>
      <c r="B61" s="51">
        <v>783</v>
      </c>
      <c r="C61" s="50"/>
      <c r="D61" s="53" t="s">
        <v>109</v>
      </c>
      <c r="E61" s="56">
        <v>43192</v>
      </c>
      <c r="F61" s="50"/>
      <c r="G61" s="50"/>
      <c r="H61" s="50"/>
      <c r="I61" s="50"/>
      <c r="J61" s="59"/>
      <c r="K61" s="55"/>
      <c r="L61" s="55"/>
      <c r="M61" s="55"/>
      <c r="N61" s="81"/>
      <c r="O61" s="62"/>
      <c r="P61" s="62"/>
    </row>
    <row r="62" spans="1:21" x14ac:dyDescent="0.3">
      <c r="A62" s="51">
        <v>6</v>
      </c>
      <c r="B62" s="51">
        <v>785</v>
      </c>
      <c r="C62" s="50"/>
      <c r="D62" s="53" t="s">
        <v>109</v>
      </c>
      <c r="E62" s="56">
        <v>43240</v>
      </c>
      <c r="F62" s="50"/>
      <c r="G62" s="50"/>
      <c r="H62" s="50"/>
      <c r="I62" s="50"/>
      <c r="J62" s="59"/>
      <c r="K62" s="55"/>
      <c r="L62" s="55"/>
      <c r="M62" s="55"/>
      <c r="N62" s="81"/>
      <c r="O62" s="62"/>
      <c r="P62" s="62"/>
    </row>
    <row r="63" spans="1:21" x14ac:dyDescent="0.3">
      <c r="A63" s="51">
        <v>7</v>
      </c>
      <c r="B63" s="51">
        <v>786</v>
      </c>
      <c r="C63" s="50"/>
      <c r="D63" s="53" t="s">
        <v>109</v>
      </c>
      <c r="E63" s="56">
        <v>43240</v>
      </c>
      <c r="F63" s="50"/>
      <c r="G63" s="50"/>
      <c r="H63" s="50"/>
      <c r="I63" s="50"/>
      <c r="J63" s="59"/>
      <c r="K63" s="55"/>
      <c r="L63" s="55"/>
      <c r="M63" s="55"/>
      <c r="N63" s="81"/>
      <c r="O63" s="62"/>
      <c r="P63" s="62"/>
    </row>
    <row r="64" spans="1:21" x14ac:dyDescent="0.3">
      <c r="A64" s="51">
        <v>8</v>
      </c>
      <c r="B64" s="51">
        <v>790</v>
      </c>
      <c r="C64" s="50"/>
      <c r="D64" s="53" t="s">
        <v>109</v>
      </c>
      <c r="E64" s="56">
        <v>43271</v>
      </c>
      <c r="F64" s="50"/>
      <c r="G64" s="50"/>
      <c r="H64" s="50"/>
      <c r="I64" s="50"/>
      <c r="J64" s="59"/>
      <c r="K64" s="55"/>
      <c r="L64" s="55"/>
      <c r="M64" s="55"/>
      <c r="N64" s="81"/>
      <c r="O64" s="62"/>
      <c r="P64" s="62"/>
    </row>
    <row r="65" spans="1:16" x14ac:dyDescent="0.3">
      <c r="A65" s="51">
        <v>9</v>
      </c>
      <c r="B65" s="51">
        <v>796</v>
      </c>
      <c r="C65" s="50"/>
      <c r="D65" s="53" t="s">
        <v>109</v>
      </c>
      <c r="E65" s="56">
        <v>43507</v>
      </c>
      <c r="F65" s="50"/>
      <c r="G65" s="50"/>
      <c r="H65" s="50"/>
      <c r="I65" s="50"/>
      <c r="J65" s="59"/>
      <c r="K65" s="55"/>
      <c r="L65" s="55"/>
      <c r="M65" s="55"/>
      <c r="N65" s="81"/>
      <c r="O65" s="62"/>
      <c r="P65" s="62"/>
    </row>
    <row r="66" spans="1:16" x14ac:dyDescent="0.3">
      <c r="A66" s="51">
        <v>10</v>
      </c>
      <c r="B66" s="51">
        <v>797</v>
      </c>
      <c r="C66" s="50"/>
      <c r="D66" s="53" t="s">
        <v>108</v>
      </c>
      <c r="E66" s="56">
        <v>43559</v>
      </c>
      <c r="F66" s="50"/>
      <c r="G66" s="50"/>
      <c r="H66" s="50"/>
      <c r="I66" s="50"/>
      <c r="J66" s="59"/>
      <c r="K66" s="55"/>
      <c r="L66" s="55"/>
      <c r="M66" s="55"/>
      <c r="N66" s="81"/>
      <c r="O66" s="62"/>
      <c r="P66" s="62"/>
    </row>
    <row r="67" spans="1:16" x14ac:dyDescent="0.3">
      <c r="A67" s="51">
        <v>11</v>
      </c>
      <c r="B67" s="51">
        <v>799</v>
      </c>
      <c r="C67" s="50"/>
      <c r="D67" s="53" t="s">
        <v>108</v>
      </c>
      <c r="E67" s="56">
        <v>43559</v>
      </c>
      <c r="F67" s="50"/>
      <c r="G67" s="50"/>
      <c r="H67" s="50"/>
      <c r="I67" s="50"/>
      <c r="J67" s="59"/>
      <c r="K67" s="55"/>
      <c r="L67" s="55"/>
      <c r="M67" s="55"/>
      <c r="N67" s="81"/>
      <c r="O67" s="62"/>
      <c r="P67" s="62"/>
    </row>
    <row r="68" spans="1:16" x14ac:dyDescent="0.3">
      <c r="A68" s="51">
        <v>12</v>
      </c>
      <c r="B68" s="51">
        <v>800</v>
      </c>
      <c r="C68" s="50"/>
      <c r="D68" s="53" t="s">
        <v>109</v>
      </c>
      <c r="E68" s="56">
        <v>43584</v>
      </c>
      <c r="F68" s="50"/>
      <c r="G68" s="50"/>
      <c r="H68" s="50"/>
      <c r="I68" s="50"/>
      <c r="J68" s="59"/>
      <c r="K68" s="55"/>
      <c r="L68" s="55"/>
      <c r="M68" s="55"/>
      <c r="N68" s="81"/>
      <c r="O68" s="62"/>
      <c r="P68" s="62"/>
    </row>
    <row r="69" spans="1:16" x14ac:dyDescent="0.3">
      <c r="A69" s="51">
        <v>13</v>
      </c>
      <c r="B69" s="51">
        <v>801</v>
      </c>
      <c r="C69" s="50"/>
      <c r="D69" s="53" t="s">
        <v>109</v>
      </c>
      <c r="E69" s="56">
        <v>43624</v>
      </c>
      <c r="F69" s="50"/>
      <c r="G69" s="50"/>
      <c r="H69" s="50"/>
      <c r="I69" s="50"/>
      <c r="J69" s="59"/>
      <c r="K69" s="55"/>
      <c r="L69" s="55"/>
      <c r="M69" s="55"/>
      <c r="N69" s="81"/>
      <c r="O69" s="62"/>
      <c r="P69" s="62"/>
    </row>
    <row r="70" spans="1:16" x14ac:dyDescent="0.3">
      <c r="A70" s="51">
        <v>14</v>
      </c>
      <c r="B70" s="51">
        <v>802</v>
      </c>
      <c r="C70" s="50"/>
      <c r="D70" s="53" t="s">
        <v>109</v>
      </c>
      <c r="E70" s="56">
        <v>43646</v>
      </c>
      <c r="F70" s="50"/>
      <c r="G70" s="50"/>
      <c r="H70" s="50"/>
      <c r="I70" s="50"/>
      <c r="J70" s="59"/>
      <c r="K70" s="55"/>
      <c r="L70" s="55"/>
      <c r="M70" s="55"/>
      <c r="N70" s="81"/>
      <c r="O70" s="62"/>
      <c r="P70" s="62"/>
    </row>
    <row r="71" spans="1:16" x14ac:dyDescent="0.3">
      <c r="A71" s="51">
        <v>15</v>
      </c>
      <c r="B71" s="51">
        <v>806</v>
      </c>
      <c r="C71" s="50"/>
      <c r="D71" s="53" t="s">
        <v>109</v>
      </c>
      <c r="E71" s="56">
        <v>43804</v>
      </c>
      <c r="F71" s="50"/>
      <c r="G71" s="50"/>
      <c r="H71" s="50"/>
      <c r="I71" s="50"/>
      <c r="J71" s="59"/>
      <c r="K71" s="55"/>
      <c r="L71" s="55"/>
      <c r="M71" s="55"/>
      <c r="N71" s="81"/>
      <c r="O71" s="62"/>
      <c r="P71" s="62"/>
    </row>
    <row r="72" spans="1:16" x14ac:dyDescent="0.3">
      <c r="A72" s="51">
        <v>16</v>
      </c>
      <c r="B72" s="51">
        <v>809</v>
      </c>
      <c r="C72" s="50"/>
      <c r="D72" s="53" t="s">
        <v>109</v>
      </c>
      <c r="E72" s="56">
        <v>43806</v>
      </c>
      <c r="F72" s="50"/>
      <c r="G72" s="50"/>
      <c r="H72" s="50"/>
      <c r="I72" s="50"/>
      <c r="J72" s="59"/>
      <c r="K72" s="55"/>
      <c r="L72" s="55"/>
      <c r="M72" s="55"/>
      <c r="N72" s="81"/>
      <c r="O72" s="62"/>
      <c r="P72" s="62"/>
    </row>
    <row r="73" spans="1:16" x14ac:dyDescent="0.3">
      <c r="A73" s="51">
        <v>17</v>
      </c>
      <c r="B73" s="51">
        <v>810</v>
      </c>
      <c r="C73" s="50"/>
      <c r="D73" s="53" t="s">
        <v>109</v>
      </c>
      <c r="E73" s="56">
        <v>43807</v>
      </c>
      <c r="F73" s="50"/>
      <c r="G73" s="50"/>
      <c r="H73" s="50"/>
      <c r="I73" s="50"/>
      <c r="J73" s="59"/>
      <c r="K73" s="55"/>
      <c r="L73" s="55"/>
      <c r="M73" s="55"/>
      <c r="N73" s="81"/>
      <c r="O73" s="62"/>
      <c r="P73" s="62"/>
    </row>
    <row r="74" spans="1:16" x14ac:dyDescent="0.3">
      <c r="A74" s="51">
        <v>18</v>
      </c>
      <c r="B74" s="51">
        <v>811</v>
      </c>
      <c r="C74" s="50"/>
      <c r="D74" s="53" t="s">
        <v>109</v>
      </c>
      <c r="E74" s="56">
        <v>43807</v>
      </c>
      <c r="F74" s="50"/>
      <c r="G74" s="50"/>
      <c r="H74" s="50"/>
      <c r="I74" s="50"/>
      <c r="J74" s="59"/>
      <c r="K74" s="55"/>
      <c r="L74" s="55"/>
      <c r="M74" s="55"/>
      <c r="N74" s="81"/>
      <c r="O74" s="62"/>
      <c r="P74" s="62"/>
    </row>
    <row r="75" spans="1:16" x14ac:dyDescent="0.3">
      <c r="A75" s="51">
        <v>19</v>
      </c>
      <c r="B75" s="51">
        <v>812</v>
      </c>
      <c r="C75" s="50"/>
      <c r="D75" s="53" t="s">
        <v>109</v>
      </c>
      <c r="E75" s="56">
        <v>43809</v>
      </c>
      <c r="F75" s="50"/>
      <c r="G75" s="50"/>
      <c r="H75" s="50"/>
      <c r="I75" s="50"/>
      <c r="J75" s="59"/>
      <c r="K75" s="55"/>
      <c r="L75" s="55"/>
      <c r="M75" s="55"/>
      <c r="N75" s="81"/>
      <c r="O75" s="62"/>
      <c r="P75" s="62"/>
    </row>
    <row r="76" spans="1:16" x14ac:dyDescent="0.3">
      <c r="A76" s="51">
        <v>20</v>
      </c>
      <c r="B76" s="51">
        <v>814</v>
      </c>
      <c r="C76" s="50"/>
      <c r="D76" s="53" t="s">
        <v>110</v>
      </c>
      <c r="E76" s="56">
        <v>43811</v>
      </c>
      <c r="F76" s="50"/>
      <c r="G76" s="50"/>
      <c r="H76" s="50"/>
      <c r="I76" s="50"/>
      <c r="J76" s="59"/>
      <c r="K76" s="55"/>
      <c r="L76" s="55"/>
      <c r="M76" s="55"/>
      <c r="N76" s="81"/>
      <c r="O76" s="62"/>
      <c r="P76" s="62"/>
    </row>
    <row r="77" spans="1:16" x14ac:dyDescent="0.3">
      <c r="A77" s="51">
        <v>21</v>
      </c>
      <c r="B77" s="51">
        <v>815</v>
      </c>
      <c r="C77" s="50"/>
      <c r="D77" s="53" t="s">
        <v>110</v>
      </c>
      <c r="E77" s="56">
        <v>43811</v>
      </c>
      <c r="F77" s="50"/>
      <c r="G77" s="50"/>
      <c r="H77" s="50"/>
      <c r="I77" s="50"/>
      <c r="J77" s="59"/>
      <c r="K77" s="55"/>
      <c r="L77" s="55"/>
      <c r="M77" s="55"/>
      <c r="N77" s="81"/>
      <c r="O77" s="62"/>
      <c r="P77" s="62"/>
    </row>
    <row r="78" spans="1:16" x14ac:dyDescent="0.3">
      <c r="A78" s="51">
        <v>22</v>
      </c>
      <c r="B78" s="51">
        <v>820</v>
      </c>
      <c r="C78" s="50"/>
      <c r="D78" s="53" t="s">
        <v>109</v>
      </c>
      <c r="E78" s="56">
        <v>43816</v>
      </c>
      <c r="F78" s="50"/>
      <c r="G78" s="50"/>
      <c r="H78" s="50"/>
      <c r="I78" s="50"/>
      <c r="J78" s="59"/>
      <c r="K78" s="55"/>
      <c r="L78" s="55"/>
      <c r="M78" s="55"/>
      <c r="N78" s="81"/>
      <c r="O78" s="62"/>
      <c r="P78" s="62"/>
    </row>
    <row r="79" spans="1:16" x14ac:dyDescent="0.3">
      <c r="A79" s="51">
        <v>23</v>
      </c>
      <c r="B79" s="51">
        <v>824</v>
      </c>
      <c r="C79" s="50"/>
      <c r="D79" s="53" t="s">
        <v>109</v>
      </c>
      <c r="E79" s="56">
        <v>43819</v>
      </c>
      <c r="F79" s="50"/>
      <c r="G79" s="50"/>
      <c r="H79" s="50"/>
      <c r="I79" s="50"/>
      <c r="J79" s="59"/>
      <c r="K79" s="55"/>
      <c r="L79" s="55"/>
      <c r="M79" s="55"/>
      <c r="N79" s="81"/>
      <c r="O79" s="62"/>
      <c r="P79" s="62"/>
    </row>
    <row r="80" spans="1:16" x14ac:dyDescent="0.3">
      <c r="A80" s="51">
        <v>24</v>
      </c>
      <c r="B80" s="51">
        <v>826</v>
      </c>
      <c r="C80" s="50"/>
      <c r="D80" s="53" t="s">
        <v>109</v>
      </c>
      <c r="E80" s="56">
        <v>43821</v>
      </c>
      <c r="F80" s="50"/>
      <c r="G80" s="50"/>
      <c r="H80" s="50"/>
      <c r="I80" s="50"/>
      <c r="J80" s="59"/>
      <c r="K80" s="55"/>
      <c r="L80" s="55"/>
      <c r="M80" s="55"/>
      <c r="N80" s="81"/>
      <c r="O80" s="62"/>
      <c r="P80" s="62"/>
    </row>
    <row r="81" spans="1:16" x14ac:dyDescent="0.3">
      <c r="A81" s="51">
        <v>25</v>
      </c>
      <c r="B81" s="51">
        <v>829</v>
      </c>
      <c r="C81" s="50"/>
      <c r="D81" s="53" t="s">
        <v>105</v>
      </c>
      <c r="E81" s="56">
        <v>43838</v>
      </c>
      <c r="F81" s="50"/>
      <c r="G81" s="50"/>
      <c r="H81" s="50"/>
      <c r="I81" s="50"/>
      <c r="J81" s="59"/>
      <c r="K81" s="55"/>
      <c r="L81" s="55"/>
      <c r="M81" s="55"/>
      <c r="N81" s="81"/>
      <c r="O81" s="62"/>
      <c r="P81" s="62"/>
    </row>
    <row r="82" spans="1:16" x14ac:dyDescent="0.3">
      <c r="A82" s="51">
        <v>26</v>
      </c>
      <c r="B82" s="51">
        <v>833</v>
      </c>
      <c r="C82" s="50"/>
      <c r="D82" s="53" t="s">
        <v>109</v>
      </c>
      <c r="E82" s="56">
        <v>43860</v>
      </c>
      <c r="F82" s="50"/>
      <c r="G82" s="50"/>
      <c r="H82" s="50"/>
      <c r="I82" s="50"/>
      <c r="J82" s="59"/>
      <c r="K82" s="55"/>
      <c r="L82" s="55"/>
      <c r="M82" s="55"/>
      <c r="N82" s="81"/>
      <c r="O82" s="62"/>
      <c r="P82" s="62"/>
    </row>
    <row r="83" spans="1:16" x14ac:dyDescent="0.3">
      <c r="A83" s="51">
        <v>27</v>
      </c>
      <c r="B83" s="51">
        <v>837</v>
      </c>
      <c r="C83" s="50"/>
      <c r="D83" s="53" t="s">
        <v>109</v>
      </c>
      <c r="E83" s="56">
        <v>43884</v>
      </c>
      <c r="F83" s="50"/>
      <c r="G83" s="50"/>
      <c r="H83" s="50"/>
      <c r="I83" s="50"/>
      <c r="J83" s="59"/>
      <c r="K83" s="55"/>
      <c r="L83" s="55"/>
      <c r="M83" s="55"/>
      <c r="N83" s="81"/>
      <c r="O83" s="62"/>
      <c r="P83" s="62"/>
    </row>
    <row r="84" spans="1:16" x14ac:dyDescent="0.3">
      <c r="A84" s="51">
        <v>28</v>
      </c>
      <c r="B84" s="51">
        <v>841</v>
      </c>
      <c r="C84" s="50"/>
      <c r="D84" s="53" t="s">
        <v>109</v>
      </c>
      <c r="E84" s="56">
        <v>43943</v>
      </c>
      <c r="F84" s="50"/>
      <c r="G84" s="50"/>
      <c r="H84" s="50"/>
      <c r="I84" s="50"/>
      <c r="J84" s="59"/>
      <c r="K84" s="55"/>
      <c r="L84" s="55"/>
      <c r="M84" s="55"/>
      <c r="N84" s="81"/>
      <c r="O84" s="62"/>
      <c r="P84" s="62"/>
    </row>
    <row r="85" spans="1:16" x14ac:dyDescent="0.3">
      <c r="A85" s="51">
        <v>29</v>
      </c>
      <c r="B85" s="51">
        <v>847</v>
      </c>
      <c r="C85" s="50"/>
      <c r="D85" s="53" t="s">
        <v>109</v>
      </c>
      <c r="E85" s="56">
        <v>44154</v>
      </c>
      <c r="F85" s="50"/>
      <c r="G85" s="50"/>
      <c r="H85" s="50"/>
      <c r="I85" s="50"/>
      <c r="J85" s="59"/>
      <c r="K85" s="55"/>
      <c r="L85" s="55"/>
      <c r="M85" s="55"/>
      <c r="N85" s="81"/>
      <c r="O85" s="62"/>
      <c r="P85" s="62"/>
    </row>
    <row r="86" spans="1:16" x14ac:dyDescent="0.3">
      <c r="A86" s="51">
        <v>30</v>
      </c>
      <c r="B86" s="51">
        <v>848</v>
      </c>
      <c r="C86" s="50"/>
      <c r="D86" s="53" t="s">
        <v>109</v>
      </c>
      <c r="E86" s="56">
        <v>44156</v>
      </c>
      <c r="F86" s="50"/>
      <c r="G86" s="50"/>
      <c r="H86" s="50"/>
      <c r="I86" s="50"/>
      <c r="J86" s="59"/>
      <c r="K86" s="55"/>
      <c r="L86" s="55"/>
      <c r="M86" s="55"/>
      <c r="N86" s="81"/>
      <c r="O86" s="62"/>
      <c r="P86" s="62"/>
    </row>
    <row r="87" spans="1:16" x14ac:dyDescent="0.3">
      <c r="A87" s="51">
        <v>31</v>
      </c>
      <c r="B87" s="51">
        <v>849</v>
      </c>
      <c r="C87" s="50"/>
      <c r="D87" s="53" t="s">
        <v>109</v>
      </c>
      <c r="E87" s="56">
        <v>44161</v>
      </c>
      <c r="F87" s="50"/>
      <c r="G87" s="50"/>
      <c r="H87" s="50"/>
      <c r="I87" s="50"/>
      <c r="J87" s="59"/>
      <c r="K87" s="55"/>
      <c r="L87" s="55"/>
      <c r="M87" s="55"/>
      <c r="N87" s="81"/>
      <c r="O87" s="62"/>
      <c r="P87" s="62"/>
    </row>
    <row r="88" spans="1:16" x14ac:dyDescent="0.3">
      <c r="A88" s="51">
        <v>32</v>
      </c>
      <c r="B88" s="51">
        <v>850</v>
      </c>
      <c r="C88" s="50"/>
      <c r="D88" s="53" t="s">
        <v>109</v>
      </c>
      <c r="E88" s="56">
        <v>44162</v>
      </c>
      <c r="F88" s="50"/>
      <c r="G88" s="50"/>
      <c r="H88" s="50"/>
      <c r="I88" s="50"/>
      <c r="J88" s="59"/>
      <c r="K88" s="55"/>
      <c r="L88" s="55"/>
      <c r="M88" s="55"/>
      <c r="N88" s="81"/>
      <c r="O88" s="62"/>
      <c r="P88" s="62"/>
    </row>
    <row r="89" spans="1:16" x14ac:dyDescent="0.3">
      <c r="A89" s="51">
        <v>33</v>
      </c>
      <c r="B89" s="51">
        <v>851</v>
      </c>
      <c r="C89" s="50"/>
      <c r="D89" s="53" t="s">
        <v>109</v>
      </c>
      <c r="E89" s="56">
        <v>44167</v>
      </c>
      <c r="F89" s="50"/>
      <c r="G89" s="50"/>
      <c r="H89" s="50"/>
      <c r="I89" s="50"/>
      <c r="J89" s="59"/>
      <c r="K89" s="55"/>
      <c r="L89" s="55"/>
      <c r="M89" s="55"/>
      <c r="N89" s="81"/>
      <c r="O89" s="62"/>
      <c r="P89" s="62"/>
    </row>
    <row r="90" spans="1:16" x14ac:dyDescent="0.3">
      <c r="A90" s="51">
        <v>34</v>
      </c>
      <c r="B90" s="51">
        <v>854</v>
      </c>
      <c r="C90" s="50"/>
      <c r="D90" s="53" t="s">
        <v>109</v>
      </c>
      <c r="E90" s="56">
        <v>44175</v>
      </c>
      <c r="F90" s="50"/>
      <c r="G90" s="50"/>
      <c r="H90" s="50"/>
      <c r="I90" s="50"/>
      <c r="J90" s="59"/>
      <c r="K90" s="55"/>
      <c r="L90" s="55"/>
      <c r="M90" s="55"/>
      <c r="O90" s="62"/>
      <c r="P90" s="62"/>
    </row>
    <row r="91" spans="1:16" x14ac:dyDescent="0.3">
      <c r="A91" s="51">
        <v>35</v>
      </c>
      <c r="B91" s="51">
        <v>855</v>
      </c>
      <c r="C91" s="50"/>
      <c r="D91" s="53" t="s">
        <v>109</v>
      </c>
      <c r="E91" s="56">
        <v>44175</v>
      </c>
      <c r="F91" s="50"/>
      <c r="G91" s="50"/>
      <c r="H91" s="50"/>
      <c r="I91" s="50"/>
      <c r="J91" s="59"/>
      <c r="K91" s="55"/>
      <c r="L91" s="55"/>
      <c r="M91" s="55"/>
      <c r="O91" s="62"/>
      <c r="P91" s="62"/>
    </row>
    <row r="92" spans="1:16" x14ac:dyDescent="0.3">
      <c r="A92" s="51">
        <v>36</v>
      </c>
      <c r="B92" s="51">
        <v>856</v>
      </c>
      <c r="C92" s="50"/>
      <c r="D92" s="53" t="s">
        <v>109</v>
      </c>
      <c r="E92" s="56">
        <v>44176</v>
      </c>
      <c r="F92" s="50"/>
      <c r="G92" s="50"/>
      <c r="H92" s="50"/>
      <c r="I92" s="50"/>
      <c r="J92" s="59"/>
      <c r="K92" s="55"/>
      <c r="L92" s="55"/>
      <c r="M92" s="55"/>
      <c r="O92" s="62"/>
      <c r="P92" s="62"/>
    </row>
    <row r="93" spans="1:16" x14ac:dyDescent="0.3">
      <c r="A93" s="51">
        <v>37</v>
      </c>
      <c r="B93" s="51">
        <v>857</v>
      </c>
      <c r="C93" s="50"/>
      <c r="D93" s="53" t="s">
        <v>109</v>
      </c>
      <c r="E93" s="56">
        <v>44179</v>
      </c>
      <c r="F93" s="50"/>
      <c r="G93" s="50"/>
      <c r="H93" s="50"/>
      <c r="I93" s="50"/>
      <c r="J93" s="59"/>
      <c r="K93" s="55"/>
      <c r="L93" s="55"/>
      <c r="M93" s="55"/>
      <c r="O93" s="62"/>
      <c r="P93" s="62"/>
    </row>
    <row r="94" spans="1:16" x14ac:dyDescent="0.3">
      <c r="A94" s="51">
        <v>38</v>
      </c>
      <c r="B94" s="51">
        <v>858</v>
      </c>
      <c r="C94" s="50"/>
      <c r="D94" s="53" t="s">
        <v>109</v>
      </c>
      <c r="E94" s="56">
        <v>44185</v>
      </c>
      <c r="F94" s="50"/>
      <c r="G94" s="50"/>
      <c r="H94" s="50"/>
      <c r="I94" s="50"/>
      <c r="J94" s="59"/>
      <c r="K94" s="55"/>
      <c r="L94" s="55"/>
      <c r="M94" s="55"/>
      <c r="O94" s="62"/>
      <c r="P94" s="62"/>
    </row>
    <row r="95" spans="1:16" x14ac:dyDescent="0.3">
      <c r="A95" s="51"/>
      <c r="B95" s="51"/>
      <c r="C95" s="50"/>
      <c r="D95" s="53"/>
      <c r="E95" s="56"/>
      <c r="F95" s="50"/>
      <c r="G95" s="50"/>
      <c r="H95" s="50"/>
      <c r="I95" s="50"/>
      <c r="J95" s="59"/>
      <c r="K95" s="55"/>
      <c r="L95" s="55"/>
      <c r="M95" s="55"/>
      <c r="O95" s="62"/>
      <c r="P95" s="62"/>
    </row>
    <row r="96" spans="1:16" x14ac:dyDescent="0.3">
      <c r="A96" s="51"/>
      <c r="B96" s="51"/>
      <c r="C96" s="50"/>
      <c r="D96" s="53"/>
      <c r="E96" s="56"/>
      <c r="F96" s="50"/>
      <c r="G96" s="50"/>
      <c r="H96" s="50"/>
      <c r="I96" s="50"/>
      <c r="J96" s="59"/>
      <c r="K96" s="55"/>
      <c r="L96" s="55"/>
      <c r="M96" s="55"/>
      <c r="O96" s="62"/>
      <c r="P96" s="62"/>
    </row>
    <row r="97" spans="1:13" x14ac:dyDescent="0.3">
      <c r="A97" s="51"/>
      <c r="B97" s="51"/>
      <c r="C97" s="50"/>
      <c r="D97" s="53"/>
      <c r="E97" s="56"/>
      <c r="F97" s="50"/>
      <c r="G97" s="50"/>
      <c r="H97" s="50"/>
      <c r="I97" s="50"/>
      <c r="J97" s="59"/>
      <c r="K97" s="55"/>
      <c r="L97" s="55"/>
      <c r="M97" s="55"/>
    </row>
    <row r="98" spans="1:13" x14ac:dyDescent="0.3">
      <c r="A98" s="108" t="s">
        <v>165</v>
      </c>
      <c r="B98" s="51"/>
      <c r="C98" s="50"/>
      <c r="D98" s="53"/>
      <c r="E98" s="56"/>
      <c r="F98" s="50"/>
      <c r="G98" s="50"/>
      <c r="H98" s="50"/>
      <c r="I98" s="50"/>
      <c r="J98" s="59"/>
      <c r="K98" s="55"/>
      <c r="L98" s="55"/>
      <c r="M98" s="55"/>
    </row>
    <row r="99" spans="1:13" x14ac:dyDescent="0.3">
      <c r="A99" s="51">
        <v>1</v>
      </c>
      <c r="B99" s="51">
        <v>813</v>
      </c>
      <c r="C99" s="50"/>
      <c r="D99" s="53" t="s">
        <v>167</v>
      </c>
      <c r="E99" s="56">
        <v>43810</v>
      </c>
      <c r="F99" s="50"/>
      <c r="G99" s="50"/>
      <c r="H99" s="50"/>
      <c r="I99" s="50"/>
      <c r="J99" s="59"/>
      <c r="K99" s="55"/>
      <c r="L99" s="55"/>
      <c r="M99" s="55"/>
    </row>
    <row r="100" spans="1:13" x14ac:dyDescent="0.3">
      <c r="A100" s="51">
        <v>2</v>
      </c>
      <c r="B100" s="51">
        <v>821</v>
      </c>
      <c r="C100" s="50"/>
      <c r="D100" s="53" t="s">
        <v>109</v>
      </c>
      <c r="E100" s="56">
        <v>43816</v>
      </c>
      <c r="F100" s="50"/>
      <c r="G100" s="50"/>
      <c r="H100" s="50"/>
      <c r="I100" s="50"/>
      <c r="J100" s="59"/>
      <c r="K100" s="55"/>
      <c r="L100" s="55"/>
      <c r="M100" s="55"/>
    </row>
    <row r="101" spans="1:13" x14ac:dyDescent="0.3">
      <c r="A101" s="51">
        <v>3</v>
      </c>
      <c r="B101" s="51">
        <v>822</v>
      </c>
      <c r="C101" s="50"/>
      <c r="D101" s="53" t="s">
        <v>109</v>
      </c>
      <c r="E101" s="56">
        <v>43818</v>
      </c>
      <c r="F101" s="50"/>
      <c r="G101" s="50"/>
      <c r="H101" s="50"/>
      <c r="I101" s="50"/>
      <c r="J101" s="59"/>
      <c r="K101" s="55"/>
      <c r="L101" s="55"/>
      <c r="M101" s="55"/>
    </row>
    <row r="102" spans="1:13" x14ac:dyDescent="0.3">
      <c r="A102" s="51">
        <v>4</v>
      </c>
      <c r="B102" s="51">
        <v>823</v>
      </c>
      <c r="C102" s="50"/>
      <c r="D102" s="53" t="s">
        <v>109</v>
      </c>
      <c r="E102" s="56">
        <v>43818</v>
      </c>
      <c r="F102" s="50"/>
      <c r="G102" s="50"/>
      <c r="H102" s="50"/>
      <c r="I102" s="50"/>
      <c r="J102" s="59"/>
      <c r="K102" s="55"/>
      <c r="L102" s="55"/>
      <c r="M102" s="55"/>
    </row>
    <row r="103" spans="1:13" x14ac:dyDescent="0.3">
      <c r="A103" s="51">
        <v>5</v>
      </c>
      <c r="B103" s="51">
        <v>825</v>
      </c>
      <c r="C103" s="50"/>
      <c r="D103" s="53" t="s">
        <v>109</v>
      </c>
      <c r="E103" s="56">
        <v>43820</v>
      </c>
      <c r="F103" s="50"/>
      <c r="G103" s="50"/>
      <c r="H103" s="50"/>
      <c r="I103" s="50"/>
      <c r="J103" s="59"/>
      <c r="K103" s="55"/>
      <c r="L103" s="55"/>
      <c r="M103" s="55"/>
    </row>
    <row r="104" spans="1:13" x14ac:dyDescent="0.3">
      <c r="A104" s="51">
        <v>6</v>
      </c>
      <c r="B104" s="51">
        <v>827</v>
      </c>
      <c r="C104" s="50"/>
      <c r="D104" s="53" t="s">
        <v>109</v>
      </c>
      <c r="E104" s="56">
        <v>43834</v>
      </c>
      <c r="F104" s="50"/>
      <c r="G104" s="50"/>
      <c r="H104" s="50"/>
      <c r="I104" s="50"/>
      <c r="J104" s="59"/>
      <c r="K104" s="55"/>
      <c r="L104" s="55"/>
      <c r="M104" s="55"/>
    </row>
    <row r="105" spans="1:13" x14ac:dyDescent="0.3">
      <c r="A105" s="51">
        <v>7</v>
      </c>
      <c r="B105" s="51">
        <v>832</v>
      </c>
      <c r="C105" s="50"/>
      <c r="D105" s="53" t="s">
        <v>109</v>
      </c>
      <c r="E105" s="56">
        <v>43855</v>
      </c>
      <c r="F105" s="50"/>
      <c r="G105" s="50"/>
      <c r="H105" s="50"/>
      <c r="I105" s="50"/>
      <c r="J105" s="59"/>
      <c r="K105" s="55"/>
      <c r="L105" s="55"/>
      <c r="M105" s="55"/>
    </row>
    <row r="106" spans="1:13" x14ac:dyDescent="0.3">
      <c r="A106" s="51">
        <v>8</v>
      </c>
      <c r="B106" s="51">
        <v>836</v>
      </c>
      <c r="C106" s="50"/>
      <c r="D106" s="53" t="s">
        <v>108</v>
      </c>
      <c r="E106" s="56">
        <v>43883</v>
      </c>
      <c r="F106" s="50"/>
      <c r="G106" s="50"/>
      <c r="H106" s="50"/>
      <c r="I106" s="50"/>
      <c r="J106" s="59"/>
      <c r="K106" s="55"/>
      <c r="L106" s="55"/>
      <c r="M106" s="55"/>
    </row>
    <row r="107" spans="1:13" x14ac:dyDescent="0.3">
      <c r="A107" s="51">
        <v>9</v>
      </c>
      <c r="B107" s="51">
        <v>839</v>
      </c>
      <c r="C107" s="50"/>
      <c r="D107" s="53" t="s">
        <v>109</v>
      </c>
      <c r="E107" s="56">
        <v>43917</v>
      </c>
      <c r="F107" s="50"/>
      <c r="G107" s="50"/>
      <c r="H107" s="50"/>
      <c r="I107" s="50"/>
      <c r="J107" s="59"/>
      <c r="K107" s="55"/>
      <c r="L107" s="55"/>
      <c r="M107" s="55"/>
    </row>
    <row r="108" spans="1:13" x14ac:dyDescent="0.3">
      <c r="A108" s="51">
        <v>10</v>
      </c>
      <c r="B108" s="51">
        <v>842</v>
      </c>
      <c r="C108" s="50"/>
      <c r="D108" s="53" t="s">
        <v>167</v>
      </c>
      <c r="E108" s="56">
        <v>43990</v>
      </c>
      <c r="F108" s="50"/>
      <c r="G108" s="50"/>
      <c r="H108" s="50"/>
      <c r="I108" s="50"/>
      <c r="J108" s="59"/>
      <c r="K108" s="55"/>
      <c r="L108" s="55"/>
      <c r="M108" s="55"/>
    </row>
    <row r="109" spans="1:13" x14ac:dyDescent="0.3">
      <c r="A109" s="51">
        <v>11</v>
      </c>
      <c r="B109" s="51">
        <v>843</v>
      </c>
      <c r="C109" s="50"/>
      <c r="D109" s="53" t="s">
        <v>109</v>
      </c>
      <c r="E109" s="56">
        <v>44109</v>
      </c>
      <c r="F109" s="50"/>
      <c r="G109" s="50"/>
      <c r="H109" s="50"/>
      <c r="I109" s="50"/>
      <c r="J109" s="59"/>
      <c r="K109" s="55"/>
      <c r="L109" s="55"/>
      <c r="M109" s="55"/>
    </row>
    <row r="110" spans="1:13" x14ac:dyDescent="0.3">
      <c r="A110" s="51">
        <v>12</v>
      </c>
      <c r="B110" s="51">
        <v>844</v>
      </c>
      <c r="C110" s="50"/>
      <c r="D110" s="53" t="s">
        <v>109</v>
      </c>
      <c r="E110" s="56">
        <v>44130</v>
      </c>
      <c r="F110" s="50"/>
      <c r="G110" s="50"/>
      <c r="H110" s="50"/>
      <c r="I110" s="50"/>
      <c r="J110" s="59"/>
      <c r="K110" s="55"/>
      <c r="L110" s="55"/>
      <c r="M110" s="55"/>
    </row>
    <row r="111" spans="1:13" x14ac:dyDescent="0.3">
      <c r="A111" s="51">
        <v>13</v>
      </c>
      <c r="B111" s="51">
        <v>846</v>
      </c>
      <c r="C111" s="50"/>
      <c r="D111" s="53" t="s">
        <v>109</v>
      </c>
      <c r="E111" s="56">
        <v>43839</v>
      </c>
      <c r="F111" s="50"/>
      <c r="G111" s="50"/>
      <c r="H111" s="50"/>
      <c r="I111" s="50"/>
      <c r="J111" s="59"/>
      <c r="K111" s="55"/>
      <c r="L111" s="55"/>
      <c r="M111" s="55"/>
    </row>
    <row r="112" spans="1:13" x14ac:dyDescent="0.3">
      <c r="A112" s="51">
        <v>14</v>
      </c>
      <c r="B112" s="51">
        <v>852</v>
      </c>
      <c r="C112" s="50"/>
      <c r="D112" s="53" t="s">
        <v>109</v>
      </c>
      <c r="E112" s="56">
        <v>44168</v>
      </c>
      <c r="F112" s="50"/>
      <c r="G112" s="50"/>
      <c r="H112" s="50"/>
      <c r="I112" s="50"/>
      <c r="J112" s="59"/>
      <c r="K112" s="55"/>
      <c r="L112" s="55"/>
      <c r="M112" s="55"/>
    </row>
    <row r="113" spans="1:20" x14ac:dyDescent="0.3">
      <c r="A113" s="51">
        <v>15</v>
      </c>
      <c r="B113" s="51">
        <v>853</v>
      </c>
      <c r="C113" s="50"/>
      <c r="D113" s="53" t="s">
        <v>109</v>
      </c>
      <c r="E113" s="56">
        <v>44174</v>
      </c>
      <c r="F113" s="50"/>
      <c r="G113" s="50"/>
      <c r="H113" s="50"/>
      <c r="I113" s="50"/>
      <c r="J113" s="59"/>
      <c r="K113" s="55"/>
      <c r="L113" s="55"/>
      <c r="M113" s="55"/>
    </row>
    <row r="114" spans="1:20" x14ac:dyDescent="0.3">
      <c r="A114" s="51"/>
      <c r="B114" s="51"/>
      <c r="C114" s="50"/>
      <c r="D114" s="53"/>
      <c r="E114" s="56"/>
      <c r="F114" s="50"/>
      <c r="G114" s="50"/>
      <c r="H114" s="50"/>
      <c r="I114" s="50"/>
      <c r="J114" s="59"/>
      <c r="K114" s="55"/>
      <c r="L114" s="55"/>
      <c r="M114" s="55"/>
    </row>
    <row r="115" spans="1:20" x14ac:dyDescent="0.3">
      <c r="A115" s="51"/>
      <c r="B115" s="51"/>
      <c r="C115" s="50"/>
      <c r="D115" s="53"/>
      <c r="E115" s="56"/>
      <c r="F115" s="50"/>
      <c r="G115" s="50"/>
      <c r="H115" s="50"/>
      <c r="I115" s="50"/>
      <c r="J115" s="59"/>
      <c r="K115" s="55"/>
      <c r="L115" s="55"/>
      <c r="M115" s="55"/>
    </row>
    <row r="116" spans="1:20" x14ac:dyDescent="0.3">
      <c r="A116" s="108" t="s">
        <v>168</v>
      </c>
      <c r="B116" s="51"/>
      <c r="C116" s="50"/>
      <c r="D116" s="53"/>
      <c r="E116" s="56"/>
      <c r="F116" s="50"/>
      <c r="G116" s="50"/>
      <c r="H116" s="50"/>
      <c r="I116" s="50"/>
      <c r="J116" s="59"/>
      <c r="K116" s="55"/>
      <c r="L116" s="55"/>
      <c r="M116" s="55"/>
    </row>
    <row r="117" spans="1:20" x14ac:dyDescent="0.3">
      <c r="A117" s="51">
        <v>1</v>
      </c>
      <c r="B117" s="51">
        <v>11</v>
      </c>
      <c r="C117" s="100" t="s">
        <v>169</v>
      </c>
      <c r="D117" s="53" t="s">
        <v>105</v>
      </c>
      <c r="E117" s="56">
        <v>42345</v>
      </c>
      <c r="F117" s="50"/>
      <c r="G117" s="50"/>
      <c r="H117" s="50"/>
      <c r="I117" s="50"/>
      <c r="J117" s="59"/>
      <c r="K117" s="55"/>
      <c r="L117" s="55"/>
      <c r="M117" s="55"/>
    </row>
    <row r="118" spans="1:20" x14ac:dyDescent="0.3">
      <c r="A118" s="51"/>
      <c r="B118" s="51"/>
      <c r="C118" s="50"/>
      <c r="D118" s="53"/>
      <c r="E118" s="56"/>
      <c r="F118" s="50"/>
      <c r="G118" s="50"/>
      <c r="H118" s="50"/>
      <c r="I118" s="50"/>
      <c r="J118" s="59"/>
      <c r="K118" s="55"/>
      <c r="L118" s="55"/>
      <c r="M118" s="55"/>
    </row>
    <row r="119" spans="1:20" x14ac:dyDescent="0.3">
      <c r="A119" s="51"/>
      <c r="B119" s="51"/>
      <c r="C119" s="50"/>
      <c r="D119" s="53"/>
      <c r="E119" s="56"/>
      <c r="F119" s="50"/>
      <c r="G119" s="50"/>
      <c r="H119" s="50"/>
      <c r="I119" s="50"/>
      <c r="J119" s="59"/>
      <c r="K119" s="55"/>
      <c r="L119" s="55"/>
      <c r="M119" s="55"/>
    </row>
    <row r="121" spans="1:20" s="6" customFormat="1" x14ac:dyDescent="0.3">
      <c r="A121"/>
      <c r="B121" s="6" t="s">
        <v>125</v>
      </c>
      <c r="C121" s="6" t="s">
        <v>121</v>
      </c>
      <c r="D121" s="6" t="s">
        <v>126</v>
      </c>
      <c r="E121" s="6" t="s">
        <v>120</v>
      </c>
      <c r="K121"/>
      <c r="L121"/>
      <c r="M121"/>
      <c r="N121"/>
      <c r="O121"/>
      <c r="P121"/>
      <c r="Q121"/>
      <c r="R121"/>
      <c r="S121"/>
      <c r="T121"/>
    </row>
    <row r="122" spans="1:20" s="6" customFormat="1" x14ac:dyDescent="0.3">
      <c r="A122"/>
      <c r="B122" s="6" t="s">
        <v>122</v>
      </c>
      <c r="C122" s="6" t="s">
        <v>121</v>
      </c>
      <c r="D122" s="6" t="s">
        <v>123</v>
      </c>
      <c r="E122" s="6" t="s">
        <v>124</v>
      </c>
      <c r="K122"/>
      <c r="L122"/>
      <c r="M122"/>
      <c r="N122"/>
      <c r="O122"/>
      <c r="P122"/>
      <c r="Q122"/>
      <c r="R122"/>
      <c r="S122"/>
      <c r="T122"/>
    </row>
    <row r="123" spans="1:20" s="6" customFormat="1" x14ac:dyDescent="0.3">
      <c r="A123"/>
      <c r="B123" s="6" t="s">
        <v>128</v>
      </c>
      <c r="C123" s="6" t="s">
        <v>127</v>
      </c>
      <c r="D123" s="6" t="s">
        <v>131</v>
      </c>
      <c r="K123"/>
      <c r="L123"/>
      <c r="M123"/>
      <c r="N123"/>
      <c r="O123"/>
      <c r="P123"/>
      <c r="Q123"/>
      <c r="R123"/>
      <c r="S123"/>
      <c r="T123"/>
    </row>
    <row r="124" spans="1:20" s="6" customFormat="1" x14ac:dyDescent="0.3">
      <c r="A124"/>
      <c r="B124" s="6" t="s">
        <v>129</v>
      </c>
      <c r="C124" s="6" t="s">
        <v>127</v>
      </c>
      <c r="D124" s="6" t="s">
        <v>130</v>
      </c>
      <c r="K124"/>
      <c r="L124"/>
      <c r="M124"/>
      <c r="N124"/>
      <c r="O124"/>
      <c r="P124"/>
      <c r="Q124"/>
      <c r="R124"/>
      <c r="S124"/>
      <c r="T124"/>
    </row>
    <row r="127" spans="1:20" s="6" customFormat="1" x14ac:dyDescent="0.3">
      <c r="A127"/>
      <c r="B127" s="68" t="s">
        <v>141</v>
      </c>
      <c r="D127" s="69" t="s">
        <v>146</v>
      </c>
      <c r="E127" s="69" t="s">
        <v>144</v>
      </c>
      <c r="F127" s="69" t="s">
        <v>145</v>
      </c>
      <c r="K127"/>
      <c r="L127"/>
      <c r="M127"/>
      <c r="N127"/>
      <c r="O127"/>
      <c r="P127"/>
      <c r="Q127"/>
      <c r="R127"/>
      <c r="S127"/>
      <c r="T127"/>
    </row>
    <row r="128" spans="1:20" s="6" customFormat="1" x14ac:dyDescent="0.3">
      <c r="A128"/>
      <c r="B128" s="6" t="s">
        <v>142</v>
      </c>
      <c r="D128" s="69">
        <f>SUM(D129:D130)</f>
        <v>46</v>
      </c>
      <c r="E128" s="4">
        <v>100</v>
      </c>
      <c r="F128" s="69">
        <f>SUM(F129:F130)</f>
        <v>37</v>
      </c>
      <c r="K128"/>
      <c r="L128"/>
      <c r="M128"/>
      <c r="N128"/>
      <c r="O128"/>
      <c r="P128"/>
      <c r="Q128"/>
      <c r="R128"/>
      <c r="S128"/>
      <c r="T128"/>
    </row>
    <row r="129" spans="1:20" s="6" customFormat="1" x14ac:dyDescent="0.3">
      <c r="A129"/>
      <c r="C129" s="6" t="s">
        <v>143</v>
      </c>
      <c r="D129" s="4">
        <v>28</v>
      </c>
      <c r="E129" s="4">
        <v>50</v>
      </c>
      <c r="F129" s="4">
        <f>D128*50%</f>
        <v>23</v>
      </c>
      <c r="K129"/>
      <c r="L129"/>
      <c r="M129"/>
      <c r="N129"/>
      <c r="O129"/>
      <c r="P129"/>
      <c r="Q129"/>
      <c r="R129"/>
      <c r="S129"/>
      <c r="T129"/>
    </row>
    <row r="130" spans="1:20" s="6" customFormat="1" x14ac:dyDescent="0.3">
      <c r="A130"/>
      <c r="C130" s="6" t="s">
        <v>118</v>
      </c>
      <c r="D130" s="4">
        <v>18</v>
      </c>
      <c r="E130" s="4">
        <v>50</v>
      </c>
      <c r="F130" s="4">
        <f>D129*50%</f>
        <v>14</v>
      </c>
      <c r="K130"/>
      <c r="L130"/>
      <c r="M130"/>
      <c r="N130"/>
      <c r="O130"/>
      <c r="P130"/>
      <c r="Q130"/>
      <c r="R130"/>
      <c r="S130"/>
      <c r="T130"/>
    </row>
    <row r="131" spans="1:20" s="6" customFormat="1" x14ac:dyDescent="0.3">
      <c r="A131"/>
      <c r="E131" s="4"/>
      <c r="K131"/>
      <c r="L131"/>
      <c r="M131"/>
      <c r="N131"/>
      <c r="O131"/>
      <c r="P131"/>
      <c r="Q131"/>
      <c r="R131"/>
      <c r="S131"/>
      <c r="T131"/>
    </row>
    <row r="132" spans="1:20" s="6" customFormat="1" x14ac:dyDescent="0.3">
      <c r="A132"/>
      <c r="E132" s="4"/>
      <c r="K132"/>
      <c r="L132"/>
      <c r="M132"/>
      <c r="N132"/>
      <c r="O132"/>
      <c r="P132"/>
      <c r="Q132"/>
      <c r="R132"/>
      <c r="S132"/>
      <c r="T132"/>
    </row>
    <row r="133" spans="1:20" s="6" customFormat="1" x14ac:dyDescent="0.3">
      <c r="A133"/>
      <c r="C133" s="6" t="s">
        <v>147</v>
      </c>
      <c r="D133" s="69">
        <v>1</v>
      </c>
      <c r="E133" s="4">
        <v>3</v>
      </c>
      <c r="F133" s="69">
        <v>1</v>
      </c>
      <c r="K133"/>
      <c r="L133"/>
      <c r="M133"/>
      <c r="N133"/>
      <c r="O133"/>
      <c r="P133"/>
      <c r="Q133"/>
      <c r="R133"/>
      <c r="S133"/>
      <c r="T133"/>
    </row>
    <row r="134" spans="1:20" s="6" customFormat="1" x14ac:dyDescent="0.3">
      <c r="A134"/>
      <c r="D134" s="4"/>
      <c r="E134" s="4"/>
      <c r="K134"/>
      <c r="L134"/>
      <c r="M134"/>
      <c r="N134"/>
      <c r="O134"/>
      <c r="P134"/>
      <c r="Q134"/>
      <c r="R134"/>
      <c r="S134"/>
      <c r="T134"/>
    </row>
    <row r="135" spans="1:20" s="6" customFormat="1" x14ac:dyDescent="0.3">
      <c r="A135"/>
      <c r="B135" s="6" t="s">
        <v>148</v>
      </c>
      <c r="D135" s="69">
        <f>SUM(D136:D139)</f>
        <v>47</v>
      </c>
      <c r="E135" s="4"/>
      <c r="F135" s="71">
        <f>SUM(F136:F139)</f>
        <v>43.7</v>
      </c>
      <c r="K135"/>
      <c r="L135"/>
      <c r="M135"/>
      <c r="N135"/>
      <c r="O135"/>
      <c r="P135"/>
      <c r="Q135"/>
      <c r="R135"/>
      <c r="S135"/>
      <c r="T135"/>
    </row>
    <row r="136" spans="1:20" s="6" customFormat="1" x14ac:dyDescent="0.3">
      <c r="A136"/>
      <c r="C136" s="6" t="s">
        <v>149</v>
      </c>
      <c r="D136" s="4">
        <v>19</v>
      </c>
      <c r="E136" s="4" t="s">
        <v>155</v>
      </c>
      <c r="F136" s="70">
        <f>D128*10%</f>
        <v>4.6000000000000005</v>
      </c>
      <c r="K136"/>
      <c r="L136"/>
      <c r="M136"/>
      <c r="N136"/>
      <c r="O136"/>
      <c r="P136"/>
      <c r="Q136"/>
      <c r="R136"/>
      <c r="S136"/>
      <c r="T136"/>
    </row>
    <row r="137" spans="1:20" s="6" customFormat="1" x14ac:dyDescent="0.3">
      <c r="A137"/>
      <c r="C137" s="6" t="s">
        <v>150</v>
      </c>
      <c r="D137" s="4">
        <v>5</v>
      </c>
      <c r="E137" s="4">
        <v>15</v>
      </c>
      <c r="F137" s="70">
        <f>D128*15%</f>
        <v>6.8999999999999995</v>
      </c>
      <c r="K137"/>
      <c r="L137"/>
      <c r="M137"/>
      <c r="N137"/>
      <c r="O137"/>
      <c r="P137"/>
      <c r="Q137"/>
      <c r="R137"/>
      <c r="S137"/>
      <c r="T137"/>
    </row>
    <row r="138" spans="1:20" s="6" customFormat="1" x14ac:dyDescent="0.3">
      <c r="A138"/>
      <c r="C138" s="6" t="s">
        <v>151</v>
      </c>
      <c r="D138" s="4">
        <v>4</v>
      </c>
      <c r="E138" s="4">
        <v>20</v>
      </c>
      <c r="F138" s="70">
        <f>D128*20%</f>
        <v>9.2000000000000011</v>
      </c>
      <c r="K138"/>
      <c r="L138"/>
      <c r="M138"/>
      <c r="N138"/>
      <c r="O138"/>
      <c r="P138"/>
      <c r="Q138"/>
      <c r="R138"/>
      <c r="S138"/>
      <c r="T138"/>
    </row>
    <row r="139" spans="1:20" s="6" customFormat="1" x14ac:dyDescent="0.3">
      <c r="A139"/>
      <c r="C139" s="6" t="s">
        <v>152</v>
      </c>
      <c r="D139" s="4">
        <v>19</v>
      </c>
      <c r="E139" s="4" t="s">
        <v>156</v>
      </c>
      <c r="F139" s="4">
        <f>D128*50%</f>
        <v>23</v>
      </c>
      <c r="K139"/>
      <c r="L139"/>
      <c r="M139"/>
      <c r="N139"/>
      <c r="O139"/>
      <c r="P139"/>
      <c r="Q139"/>
      <c r="R139"/>
      <c r="S139"/>
      <c r="T139"/>
    </row>
    <row r="140" spans="1:20" s="6" customFormat="1" x14ac:dyDescent="0.3">
      <c r="A140"/>
      <c r="E140" s="4"/>
      <c r="F140" s="4"/>
      <c r="K140"/>
      <c r="L140"/>
      <c r="M140"/>
      <c r="N140"/>
      <c r="O140"/>
      <c r="P140"/>
      <c r="Q140"/>
      <c r="R140"/>
      <c r="S140"/>
      <c r="T140"/>
    </row>
    <row r="141" spans="1:20" s="6" customFormat="1" x14ac:dyDescent="0.3">
      <c r="A141"/>
      <c r="D141" s="4"/>
      <c r="E141" s="4"/>
      <c r="F141" s="4"/>
      <c r="K141"/>
      <c r="L141"/>
      <c r="M141"/>
      <c r="N141"/>
      <c r="O141"/>
      <c r="P141"/>
      <c r="Q141"/>
      <c r="R141"/>
      <c r="S141"/>
      <c r="T141"/>
    </row>
    <row r="142" spans="1:20" s="6" customFormat="1" x14ac:dyDescent="0.3">
      <c r="A142"/>
      <c r="B142" s="6" t="s">
        <v>153</v>
      </c>
      <c r="D142" s="69">
        <v>24</v>
      </c>
      <c r="E142" s="4" t="s">
        <v>156</v>
      </c>
      <c r="F142" s="69">
        <f>D128*50%</f>
        <v>23</v>
      </c>
      <c r="K142"/>
      <c r="L142"/>
      <c r="M142"/>
      <c r="N142"/>
      <c r="O142"/>
      <c r="P142"/>
      <c r="Q142"/>
      <c r="R142"/>
      <c r="S142"/>
      <c r="T142"/>
    </row>
    <row r="143" spans="1:20" s="6" customFormat="1" x14ac:dyDescent="0.3">
      <c r="A143"/>
      <c r="D143" s="4"/>
      <c r="E143" s="4"/>
      <c r="K143"/>
      <c r="L143"/>
      <c r="M143"/>
      <c r="N143"/>
      <c r="O143"/>
      <c r="P143"/>
      <c r="Q143"/>
      <c r="R143"/>
      <c r="S143"/>
      <c r="T143"/>
    </row>
    <row r="144" spans="1:20" s="6" customFormat="1" x14ac:dyDescent="0.3">
      <c r="A144"/>
      <c r="B144" s="6" t="s">
        <v>154</v>
      </c>
      <c r="D144" s="69">
        <f>D128+D133+D135+D142</f>
        <v>118</v>
      </c>
      <c r="E144" s="4"/>
      <c r="F144" s="71">
        <f>F128+F133+F135+F142</f>
        <v>104.7</v>
      </c>
      <c r="K144"/>
      <c r="L144"/>
      <c r="M144"/>
      <c r="N144"/>
      <c r="O144"/>
      <c r="P144"/>
      <c r="Q144"/>
      <c r="R144"/>
      <c r="S144"/>
      <c r="T144"/>
    </row>
  </sheetData>
  <autoFilter ref="A2:Q2" xr:uid="{00000000-0009-0000-0000-000008000000}">
    <sortState xmlns:xlrd2="http://schemas.microsoft.com/office/spreadsheetml/2017/richdata2" ref="A3:Q54">
      <sortCondition ref="O2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8"/>
  <sheetViews>
    <sheetView showGridLines="0" zoomScaleNormal="100" workbookViewId="0">
      <pane xSplit="4" ySplit="1" topLeftCell="E21" activePane="bottomRight" state="frozen"/>
      <selection activeCell="I219" sqref="I219"/>
      <selection pane="topRight" activeCell="I219" sqref="I219"/>
      <selection pane="bottomLeft" activeCell="I219" sqref="I219"/>
      <selection pane="bottomRight" activeCell="K21" sqref="K21"/>
    </sheetView>
  </sheetViews>
  <sheetFormatPr defaultRowHeight="14.4" x14ac:dyDescent="0.3"/>
  <cols>
    <col min="2" max="2" width="9.109375" customWidth="1"/>
    <col min="3" max="3" width="8.33203125" style="123" customWidth="1"/>
    <col min="4" max="4" width="17.33203125" style="6" customWidth="1"/>
    <col min="5" max="5" width="14.33203125" style="6" bestFit="1" customWidth="1"/>
    <col min="6" max="6" width="17.109375" style="4" bestFit="1" customWidth="1"/>
    <col min="7" max="7" width="13.5546875" style="123" customWidth="1"/>
    <col min="8" max="8" width="12.109375" style="6" customWidth="1"/>
    <col min="9" max="9" width="15.44140625" style="4" bestFit="1" customWidth="1"/>
    <col min="10" max="10" width="9.33203125" customWidth="1"/>
    <col min="11" max="11" width="10.6640625" bestFit="1" customWidth="1"/>
    <col min="12" max="12" width="14.44140625" bestFit="1" customWidth="1"/>
    <col min="13" max="13" width="12.44140625" customWidth="1"/>
    <col min="14" max="14" width="11.44140625" customWidth="1"/>
    <col min="15" max="15" width="13.109375" hidden="1" customWidth="1"/>
    <col min="16" max="16" width="32.109375" customWidth="1"/>
    <col min="17" max="17" width="22.109375" customWidth="1"/>
    <col min="18" max="18" width="20.6640625" customWidth="1"/>
    <col min="19" max="19" width="18.5546875" customWidth="1"/>
    <col min="20" max="20" width="18.77734375" style="237" customWidth="1"/>
    <col min="21" max="21" width="19" customWidth="1"/>
  </cols>
  <sheetData>
    <row r="1" spans="1:21" x14ac:dyDescent="0.3">
      <c r="A1" s="61" t="s">
        <v>0</v>
      </c>
      <c r="B1" s="61" t="s">
        <v>1</v>
      </c>
      <c r="C1" s="61" t="s">
        <v>186</v>
      </c>
      <c r="D1" s="61" t="s">
        <v>2</v>
      </c>
      <c r="E1" s="61" t="s">
        <v>104</v>
      </c>
      <c r="F1" s="61" t="s">
        <v>100</v>
      </c>
      <c r="G1" s="61" t="s">
        <v>198</v>
      </c>
      <c r="H1" s="61" t="s">
        <v>101</v>
      </c>
      <c r="I1" s="61" t="s">
        <v>158</v>
      </c>
      <c r="J1" s="61" t="s">
        <v>106</v>
      </c>
      <c r="K1" s="137" t="s">
        <v>99</v>
      </c>
      <c r="L1" s="61" t="s">
        <v>159</v>
      </c>
      <c r="M1" s="61" t="s">
        <v>97</v>
      </c>
      <c r="N1" s="61" t="s">
        <v>118</v>
      </c>
      <c r="O1" s="61" t="s">
        <v>118</v>
      </c>
      <c r="P1" s="67" t="s">
        <v>295</v>
      </c>
      <c r="Q1" s="67" t="s">
        <v>296</v>
      </c>
      <c r="R1" s="67" t="s">
        <v>297</v>
      </c>
      <c r="S1" s="67" t="s">
        <v>298</v>
      </c>
      <c r="T1" s="220" t="s">
        <v>299</v>
      </c>
      <c r="U1" s="67" t="s">
        <v>300</v>
      </c>
    </row>
    <row r="2" spans="1:21" s="121" customFormat="1" x14ac:dyDescent="0.3">
      <c r="A2" s="51">
        <v>1</v>
      </c>
      <c r="B2" s="146" t="s">
        <v>259</v>
      </c>
      <c r="C2" s="135" t="s">
        <v>184</v>
      </c>
      <c r="D2" s="134" t="s">
        <v>221</v>
      </c>
      <c r="E2" s="134" t="s">
        <v>108</v>
      </c>
      <c r="F2" s="149">
        <v>40909</v>
      </c>
      <c r="G2" s="130" t="s">
        <v>222</v>
      </c>
      <c r="H2" s="131">
        <v>4</v>
      </c>
      <c r="I2" s="152">
        <v>44141</v>
      </c>
      <c r="J2" s="132" t="s">
        <v>160</v>
      </c>
      <c r="K2" s="154" t="e">
        <f>#REF!</f>
        <v>#REF!</v>
      </c>
      <c r="L2" s="144"/>
      <c r="M2" s="206">
        <v>44420</v>
      </c>
      <c r="N2" s="155">
        <f>I2+300</f>
        <v>44441</v>
      </c>
      <c r="O2" s="120"/>
      <c r="P2" t="s">
        <v>482</v>
      </c>
      <c r="Q2" s="139" t="s">
        <v>315</v>
      </c>
      <c r="R2" s="206">
        <v>44141</v>
      </c>
      <c r="S2" s="78" t="s">
        <v>342</v>
      </c>
      <c r="T2" s="218">
        <v>21</v>
      </c>
      <c r="U2" s="120"/>
    </row>
    <row r="3" spans="1:21" x14ac:dyDescent="0.3">
      <c r="A3" s="51">
        <v>2</v>
      </c>
      <c r="B3" s="146" t="s">
        <v>254</v>
      </c>
      <c r="C3" s="135" t="s">
        <v>184</v>
      </c>
      <c r="D3" s="134" t="s">
        <v>255</v>
      </c>
      <c r="E3" s="134" t="s">
        <v>109</v>
      </c>
      <c r="F3" s="149">
        <v>40826</v>
      </c>
      <c r="G3" s="130" t="s">
        <v>222</v>
      </c>
      <c r="H3" s="131">
        <v>4</v>
      </c>
      <c r="I3" s="152">
        <v>44213</v>
      </c>
      <c r="J3" s="132" t="s">
        <v>160</v>
      </c>
      <c r="K3" s="154" t="e">
        <f>#REF!</f>
        <v>#REF!</v>
      </c>
      <c r="L3" s="140"/>
      <c r="M3" s="206">
        <v>44493</v>
      </c>
      <c r="N3" s="155">
        <f t="shared" ref="N3:N57" si="0">I3+300</f>
        <v>44513</v>
      </c>
      <c r="O3" s="78">
        <f>M3+280</f>
        <v>44773</v>
      </c>
      <c r="P3" t="s">
        <v>483</v>
      </c>
      <c r="Q3" s="139" t="s">
        <v>315</v>
      </c>
      <c r="R3" s="206">
        <v>44213</v>
      </c>
      <c r="S3" s="78" t="s">
        <v>342</v>
      </c>
      <c r="T3" s="218">
        <v>21</v>
      </c>
      <c r="U3" s="78"/>
    </row>
    <row r="4" spans="1:21" x14ac:dyDescent="0.3">
      <c r="A4" s="51">
        <v>3</v>
      </c>
      <c r="B4" s="147" t="s">
        <v>256</v>
      </c>
      <c r="C4" s="135" t="s">
        <v>184</v>
      </c>
      <c r="D4" s="134" t="s">
        <v>257</v>
      </c>
      <c r="E4" s="134" t="s">
        <v>109</v>
      </c>
      <c r="F4" s="149">
        <v>41435</v>
      </c>
      <c r="G4" s="130" t="s">
        <v>222</v>
      </c>
      <c r="H4" s="131">
        <v>2</v>
      </c>
      <c r="I4" s="152">
        <v>44237</v>
      </c>
      <c r="J4" s="132" t="s">
        <v>160</v>
      </c>
      <c r="K4" s="154" t="e">
        <f>#REF!</f>
        <v>#REF!</v>
      </c>
      <c r="L4" s="140"/>
      <c r="M4" s="206">
        <v>44517</v>
      </c>
      <c r="N4" s="155">
        <f t="shared" si="0"/>
        <v>44537</v>
      </c>
      <c r="O4" s="78">
        <f t="shared" ref="O4:O33" si="1">M4+280</f>
        <v>44797</v>
      </c>
      <c r="P4" t="s">
        <v>484</v>
      </c>
      <c r="Q4" s="139" t="s">
        <v>315</v>
      </c>
      <c r="R4" s="206">
        <v>44237</v>
      </c>
      <c r="S4" s="78" t="s">
        <v>342</v>
      </c>
      <c r="T4" s="218">
        <v>21</v>
      </c>
      <c r="U4" s="78"/>
    </row>
    <row r="5" spans="1:21" x14ac:dyDescent="0.3">
      <c r="A5" s="51">
        <v>4</v>
      </c>
      <c r="B5" s="146" t="s">
        <v>252</v>
      </c>
      <c r="C5" s="135" t="s">
        <v>215</v>
      </c>
      <c r="D5" s="134" t="s">
        <v>253</v>
      </c>
      <c r="E5" s="134" t="s">
        <v>108</v>
      </c>
      <c r="F5" s="149">
        <v>43170</v>
      </c>
      <c r="G5" s="130" t="s">
        <v>222</v>
      </c>
      <c r="H5" s="131">
        <v>1</v>
      </c>
      <c r="I5" s="152">
        <v>44385</v>
      </c>
      <c r="J5" s="132" t="s">
        <v>157</v>
      </c>
      <c r="K5" s="154" t="e">
        <f>#REF!</f>
        <v>#REF!</v>
      </c>
      <c r="L5" s="140">
        <v>3</v>
      </c>
      <c r="M5" s="206">
        <v>44665</v>
      </c>
      <c r="N5" s="155">
        <f t="shared" si="0"/>
        <v>44685</v>
      </c>
      <c r="O5" s="78">
        <f t="shared" si="1"/>
        <v>44945</v>
      </c>
      <c r="P5" t="s">
        <v>485</v>
      </c>
      <c r="Q5" s="139" t="s">
        <v>315</v>
      </c>
      <c r="R5" s="206">
        <v>44385</v>
      </c>
      <c r="S5" s="78" t="s">
        <v>316</v>
      </c>
      <c r="T5" s="218">
        <v>21</v>
      </c>
      <c r="U5" s="78"/>
    </row>
    <row r="6" spans="1:21" x14ac:dyDescent="0.3">
      <c r="A6" s="51">
        <v>5</v>
      </c>
      <c r="B6" s="146" t="s">
        <v>244</v>
      </c>
      <c r="C6" s="135" t="s">
        <v>215</v>
      </c>
      <c r="D6" s="134" t="s">
        <v>245</v>
      </c>
      <c r="E6" s="134" t="s">
        <v>108</v>
      </c>
      <c r="F6" s="149">
        <v>43177</v>
      </c>
      <c r="G6" s="130" t="s">
        <v>222</v>
      </c>
      <c r="H6" s="131">
        <v>1</v>
      </c>
      <c r="I6" s="152">
        <v>44547</v>
      </c>
      <c r="J6" s="132" t="s">
        <v>157</v>
      </c>
      <c r="K6" s="154" t="e">
        <f>#REF!</f>
        <v>#REF!</v>
      </c>
      <c r="L6" s="140">
        <v>8</v>
      </c>
      <c r="M6" s="206">
        <v>44827</v>
      </c>
      <c r="N6" s="155">
        <f t="shared" si="0"/>
        <v>44847</v>
      </c>
      <c r="O6" s="78">
        <f t="shared" si="1"/>
        <v>45107</v>
      </c>
      <c r="P6" t="s">
        <v>486</v>
      </c>
      <c r="Q6" s="139" t="s">
        <v>315</v>
      </c>
      <c r="R6" s="206">
        <v>44547</v>
      </c>
      <c r="S6" s="78" t="s">
        <v>316</v>
      </c>
      <c r="T6" s="218">
        <v>21</v>
      </c>
      <c r="U6" s="78"/>
    </row>
    <row r="7" spans="1:21" s="92" customFormat="1" x14ac:dyDescent="0.3">
      <c r="A7" s="51">
        <v>6</v>
      </c>
      <c r="B7" s="146" t="s">
        <v>258</v>
      </c>
      <c r="C7" s="135" t="s">
        <v>184</v>
      </c>
      <c r="D7" s="134">
        <v>20</v>
      </c>
      <c r="E7" s="134" t="s">
        <v>108</v>
      </c>
      <c r="F7" s="149">
        <v>41006</v>
      </c>
      <c r="G7" s="130" t="s">
        <v>222</v>
      </c>
      <c r="H7" s="131">
        <v>4</v>
      </c>
      <c r="I7" s="152">
        <v>44554</v>
      </c>
      <c r="J7" s="132" t="s">
        <v>160</v>
      </c>
      <c r="K7" s="154" t="e">
        <f>#REF!</f>
        <v>#REF!</v>
      </c>
      <c r="L7" s="140"/>
      <c r="M7" s="206">
        <v>44834</v>
      </c>
      <c r="N7" s="155">
        <f t="shared" si="0"/>
        <v>44854</v>
      </c>
      <c r="O7" s="78">
        <f t="shared" si="1"/>
        <v>45114</v>
      </c>
      <c r="P7" t="s">
        <v>487</v>
      </c>
      <c r="Q7" s="139" t="s">
        <v>315</v>
      </c>
      <c r="R7" s="206">
        <v>44554</v>
      </c>
      <c r="S7" s="78" t="s">
        <v>342</v>
      </c>
      <c r="T7" s="218" t="s">
        <v>473</v>
      </c>
      <c r="U7" s="78"/>
    </row>
    <row r="8" spans="1:21" x14ac:dyDescent="0.3">
      <c r="A8" s="51">
        <v>7</v>
      </c>
      <c r="B8" s="146" t="s">
        <v>239</v>
      </c>
      <c r="C8" s="135" t="s">
        <v>187</v>
      </c>
      <c r="D8" s="134" t="s">
        <v>4</v>
      </c>
      <c r="E8" s="145" t="s">
        <v>109</v>
      </c>
      <c r="F8" s="149">
        <v>41524</v>
      </c>
      <c r="G8" s="130" t="s">
        <v>222</v>
      </c>
      <c r="H8" s="131">
        <v>3</v>
      </c>
      <c r="I8" s="152">
        <v>44606</v>
      </c>
      <c r="J8" s="132" t="s">
        <v>157</v>
      </c>
      <c r="K8" s="154" t="e">
        <f>#REF!</f>
        <v>#REF!</v>
      </c>
      <c r="L8" s="140">
        <v>3.5</v>
      </c>
      <c r="M8" s="206">
        <v>44886</v>
      </c>
      <c r="N8" s="155">
        <f t="shared" si="0"/>
        <v>44906</v>
      </c>
      <c r="O8" s="78">
        <f t="shared" si="1"/>
        <v>45166</v>
      </c>
      <c r="P8" s="78" t="s">
        <v>488</v>
      </c>
      <c r="Q8" s="139" t="s">
        <v>315</v>
      </c>
      <c r="R8" s="206">
        <v>44606</v>
      </c>
      <c r="S8" s="78" t="s">
        <v>330</v>
      </c>
      <c r="T8" s="218" t="s">
        <v>417</v>
      </c>
      <c r="U8" s="78"/>
    </row>
    <row r="9" spans="1:21" x14ac:dyDescent="0.3">
      <c r="A9" s="51">
        <v>8</v>
      </c>
      <c r="B9" s="147" t="s">
        <v>260</v>
      </c>
      <c r="C9" s="135" t="s">
        <v>184</v>
      </c>
      <c r="D9" s="134" t="s">
        <v>261</v>
      </c>
      <c r="E9" s="134" t="s">
        <v>108</v>
      </c>
      <c r="F9" s="149">
        <v>41188</v>
      </c>
      <c r="G9" s="130" t="s">
        <v>222</v>
      </c>
      <c r="H9" s="131">
        <v>5</v>
      </c>
      <c r="I9" s="152">
        <v>44696</v>
      </c>
      <c r="J9" s="132" t="s">
        <v>160</v>
      </c>
      <c r="K9" s="154" t="e">
        <f>#REF!</f>
        <v>#REF!</v>
      </c>
      <c r="L9" s="144"/>
      <c r="M9" s="206">
        <v>44977</v>
      </c>
      <c r="N9" s="155">
        <f t="shared" si="0"/>
        <v>44996</v>
      </c>
      <c r="O9" s="78">
        <f t="shared" si="1"/>
        <v>45257</v>
      </c>
      <c r="P9" t="s">
        <v>489</v>
      </c>
      <c r="Q9" s="139" t="s">
        <v>315</v>
      </c>
      <c r="R9" s="206">
        <v>44696</v>
      </c>
      <c r="S9" s="78" t="s">
        <v>330</v>
      </c>
      <c r="T9" s="218" t="s">
        <v>417</v>
      </c>
      <c r="U9" s="78"/>
    </row>
    <row r="10" spans="1:21" x14ac:dyDescent="0.3">
      <c r="A10" s="51">
        <v>9</v>
      </c>
      <c r="B10" s="146" t="s">
        <v>246</v>
      </c>
      <c r="C10" s="135" t="s">
        <v>187</v>
      </c>
      <c r="D10" s="134" t="s">
        <v>247</v>
      </c>
      <c r="E10" s="134" t="s">
        <v>108</v>
      </c>
      <c r="F10" s="149">
        <v>41463</v>
      </c>
      <c r="G10" s="130" t="s">
        <v>222</v>
      </c>
      <c r="H10" s="131">
        <v>4</v>
      </c>
      <c r="I10" s="152">
        <v>44722</v>
      </c>
      <c r="J10" s="132" t="s">
        <v>157</v>
      </c>
      <c r="K10" s="154" t="e">
        <f>#REF!</f>
        <v>#REF!</v>
      </c>
      <c r="L10" s="140">
        <v>5</v>
      </c>
      <c r="M10" s="206">
        <v>45002</v>
      </c>
      <c r="N10" s="155">
        <f t="shared" si="0"/>
        <v>45022</v>
      </c>
      <c r="O10" s="78">
        <f t="shared" si="1"/>
        <v>45282</v>
      </c>
      <c r="P10" t="s">
        <v>490</v>
      </c>
      <c r="Q10" s="139" t="s">
        <v>315</v>
      </c>
      <c r="R10" s="206">
        <v>44722</v>
      </c>
      <c r="S10" s="78" t="s">
        <v>316</v>
      </c>
      <c r="T10" s="218" t="s">
        <v>256</v>
      </c>
      <c r="U10" s="78"/>
    </row>
    <row r="11" spans="1:21" s="259" customFormat="1" x14ac:dyDescent="0.3">
      <c r="A11" s="238">
        <v>10</v>
      </c>
      <c r="B11" s="239" t="s">
        <v>23</v>
      </c>
      <c r="C11" s="240" t="s">
        <v>187</v>
      </c>
      <c r="D11" s="84" t="s">
        <v>26</v>
      </c>
      <c r="E11" s="84" t="s">
        <v>109</v>
      </c>
      <c r="F11" s="241">
        <v>41565</v>
      </c>
      <c r="G11" s="242" t="s">
        <v>222</v>
      </c>
      <c r="H11" s="86">
        <v>4</v>
      </c>
      <c r="I11" s="255">
        <v>44770</v>
      </c>
      <c r="J11" s="89" t="s">
        <v>157</v>
      </c>
      <c r="K11" s="256" t="e">
        <f>#REF!</f>
        <v>#REF!</v>
      </c>
      <c r="L11" s="158">
        <v>5</v>
      </c>
      <c r="M11" s="206">
        <v>45051</v>
      </c>
      <c r="N11" s="243">
        <f t="shared" si="0"/>
        <v>45070</v>
      </c>
      <c r="O11" s="89">
        <f t="shared" si="1"/>
        <v>45331</v>
      </c>
      <c r="P11" s="259" t="s">
        <v>491</v>
      </c>
      <c r="Q11" s="143" t="s">
        <v>315</v>
      </c>
      <c r="R11" s="260">
        <v>44770</v>
      </c>
      <c r="S11" s="89" t="s">
        <v>316</v>
      </c>
      <c r="T11" s="258" t="s">
        <v>431</v>
      </c>
      <c r="U11" s="89"/>
    </row>
    <row r="12" spans="1:21" s="143" customFormat="1" x14ac:dyDescent="0.3">
      <c r="A12" s="238">
        <v>11</v>
      </c>
      <c r="B12" s="239" t="s">
        <v>47</v>
      </c>
      <c r="C12" s="240" t="s">
        <v>187</v>
      </c>
      <c r="D12" s="84" t="s">
        <v>48</v>
      </c>
      <c r="E12" s="84" t="s">
        <v>109</v>
      </c>
      <c r="F12" s="241">
        <v>41156</v>
      </c>
      <c r="G12" s="242" t="s">
        <v>184</v>
      </c>
      <c r="H12" s="86">
        <v>5</v>
      </c>
      <c r="I12" s="255">
        <v>44772</v>
      </c>
      <c r="J12" s="89" t="s">
        <v>160</v>
      </c>
      <c r="K12" s="256" t="e">
        <f>#REF!</f>
        <v>#REF!</v>
      </c>
      <c r="L12" s="158"/>
      <c r="M12" s="206">
        <v>45052</v>
      </c>
      <c r="N12" s="243">
        <f t="shared" si="0"/>
        <v>45072</v>
      </c>
      <c r="O12" s="89">
        <f t="shared" si="1"/>
        <v>45332</v>
      </c>
      <c r="P12" s="143" t="s">
        <v>492</v>
      </c>
      <c r="Q12" s="143" t="s">
        <v>315</v>
      </c>
      <c r="R12" s="257">
        <v>44772</v>
      </c>
      <c r="S12" s="89" t="s">
        <v>330</v>
      </c>
      <c r="T12" s="258" t="s">
        <v>417</v>
      </c>
      <c r="U12" s="89"/>
    </row>
    <row r="13" spans="1:21" s="143" customFormat="1" x14ac:dyDescent="0.3">
      <c r="A13" s="238">
        <v>12</v>
      </c>
      <c r="B13" s="239" t="s">
        <v>57</v>
      </c>
      <c r="C13" s="240" t="s">
        <v>187</v>
      </c>
      <c r="D13" s="84" t="s">
        <v>58</v>
      </c>
      <c r="E13" s="84" t="s">
        <v>109</v>
      </c>
      <c r="F13" s="241">
        <v>41247</v>
      </c>
      <c r="G13" s="242" t="s">
        <v>184</v>
      </c>
      <c r="H13" s="86">
        <v>4</v>
      </c>
      <c r="I13" s="255">
        <v>44776</v>
      </c>
      <c r="J13" s="89" t="s">
        <v>160</v>
      </c>
      <c r="K13" s="256" t="e">
        <f>#REF!</f>
        <v>#REF!</v>
      </c>
      <c r="L13" s="158"/>
      <c r="M13" s="206">
        <v>45056</v>
      </c>
      <c r="N13" s="243">
        <f t="shared" si="0"/>
        <v>45076</v>
      </c>
      <c r="O13" s="89">
        <f t="shared" si="1"/>
        <v>45336</v>
      </c>
      <c r="P13" s="143" t="s">
        <v>493</v>
      </c>
      <c r="Q13" s="143" t="s">
        <v>315</v>
      </c>
      <c r="R13" s="257">
        <v>44776</v>
      </c>
      <c r="S13" s="89" t="s">
        <v>330</v>
      </c>
      <c r="T13" s="258" t="s">
        <v>417</v>
      </c>
      <c r="U13" s="89"/>
    </row>
    <row r="14" spans="1:21" s="143" customFormat="1" x14ac:dyDescent="0.3">
      <c r="A14" s="238">
        <v>13</v>
      </c>
      <c r="B14" s="239" t="s">
        <v>240</v>
      </c>
      <c r="C14" s="240" t="s">
        <v>187</v>
      </c>
      <c r="D14" s="84" t="s">
        <v>241</v>
      </c>
      <c r="E14" s="84" t="s">
        <v>109</v>
      </c>
      <c r="F14" s="241">
        <v>41496</v>
      </c>
      <c r="G14" s="242" t="s">
        <v>222</v>
      </c>
      <c r="H14" s="86">
        <v>5</v>
      </c>
      <c r="I14" s="255">
        <v>44779</v>
      </c>
      <c r="J14" s="89" t="s">
        <v>157</v>
      </c>
      <c r="K14" s="256" t="e">
        <f>#REF!</f>
        <v>#REF!</v>
      </c>
      <c r="L14" s="158">
        <v>5.5</v>
      </c>
      <c r="M14" s="206">
        <v>45059</v>
      </c>
      <c r="N14" s="243">
        <f t="shared" si="0"/>
        <v>45079</v>
      </c>
      <c r="O14" s="89">
        <f t="shared" si="1"/>
        <v>45339</v>
      </c>
      <c r="P14" s="143" t="s">
        <v>494</v>
      </c>
      <c r="Q14" s="143" t="s">
        <v>315</v>
      </c>
      <c r="R14" s="257">
        <v>44779</v>
      </c>
      <c r="S14" s="89" t="s">
        <v>316</v>
      </c>
      <c r="T14" s="258" t="s">
        <v>417</v>
      </c>
      <c r="U14" s="89"/>
    </row>
    <row r="15" spans="1:21" s="143" customFormat="1" x14ac:dyDescent="0.3">
      <c r="A15" s="238">
        <v>14</v>
      </c>
      <c r="B15" s="100">
        <v>170309</v>
      </c>
      <c r="C15" s="245" t="s">
        <v>184</v>
      </c>
      <c r="D15" s="84" t="s">
        <v>238</v>
      </c>
      <c r="E15" s="84" t="s">
        <v>109</v>
      </c>
      <c r="F15" s="241">
        <v>42800</v>
      </c>
      <c r="G15" s="242" t="s">
        <v>184</v>
      </c>
      <c r="H15" s="86">
        <v>1</v>
      </c>
      <c r="I15" s="255">
        <v>44781</v>
      </c>
      <c r="J15" s="89" t="s">
        <v>160</v>
      </c>
      <c r="K15" s="256" t="e">
        <f>#REF!</f>
        <v>#REF!</v>
      </c>
      <c r="L15" s="158"/>
      <c r="M15" s="206">
        <v>45061</v>
      </c>
      <c r="N15" s="243">
        <f t="shared" si="0"/>
        <v>45081</v>
      </c>
      <c r="O15" s="89">
        <f t="shared" si="1"/>
        <v>45341</v>
      </c>
      <c r="P15" s="143" t="s">
        <v>495</v>
      </c>
      <c r="Q15" s="143" t="s">
        <v>315</v>
      </c>
      <c r="R15" s="257">
        <v>44781</v>
      </c>
      <c r="S15" s="89" t="s">
        <v>316</v>
      </c>
      <c r="T15" s="258" t="s">
        <v>417</v>
      </c>
      <c r="U15" s="89"/>
    </row>
    <row r="16" spans="1:21" s="143" customFormat="1" x14ac:dyDescent="0.3">
      <c r="A16" s="238">
        <v>15</v>
      </c>
      <c r="B16" s="239" t="s">
        <v>269</v>
      </c>
      <c r="C16" s="240" t="s">
        <v>184</v>
      </c>
      <c r="D16" s="100">
        <v>44</v>
      </c>
      <c r="E16" s="84" t="s">
        <v>109</v>
      </c>
      <c r="F16" s="241">
        <v>40909</v>
      </c>
      <c r="G16" s="242" t="s">
        <v>184</v>
      </c>
      <c r="H16" s="86">
        <v>6</v>
      </c>
      <c r="I16" s="255">
        <v>44834</v>
      </c>
      <c r="J16" s="89" t="s">
        <v>266</v>
      </c>
      <c r="K16" s="256" t="e">
        <f>#REF!</f>
        <v>#REF!</v>
      </c>
      <c r="L16" s="158"/>
      <c r="M16" s="206">
        <v>45114</v>
      </c>
      <c r="N16" s="243">
        <f t="shared" si="0"/>
        <v>45134</v>
      </c>
      <c r="O16" s="89">
        <f t="shared" si="1"/>
        <v>45394</v>
      </c>
      <c r="P16" s="143" t="s">
        <v>496</v>
      </c>
      <c r="Q16" s="143" t="s">
        <v>315</v>
      </c>
      <c r="R16" s="257">
        <v>44834</v>
      </c>
      <c r="S16" s="89" t="s">
        <v>334</v>
      </c>
      <c r="T16" s="258" t="s">
        <v>473</v>
      </c>
      <c r="U16" s="89"/>
    </row>
    <row r="17" spans="1:21" s="143" customFormat="1" x14ac:dyDescent="0.3">
      <c r="A17" s="238">
        <v>16</v>
      </c>
      <c r="B17" s="239" t="s">
        <v>242</v>
      </c>
      <c r="C17" s="240" t="s">
        <v>187</v>
      </c>
      <c r="D17" s="84" t="s">
        <v>243</v>
      </c>
      <c r="E17" s="84" t="s">
        <v>109</v>
      </c>
      <c r="F17" s="241">
        <v>41526</v>
      </c>
      <c r="G17" s="242" t="s">
        <v>222</v>
      </c>
      <c r="H17" s="86">
        <v>4</v>
      </c>
      <c r="I17" s="255">
        <v>44846</v>
      </c>
      <c r="J17" s="89" t="s">
        <v>157</v>
      </c>
      <c r="K17" s="256" t="e">
        <f>#REF!</f>
        <v>#REF!</v>
      </c>
      <c r="L17" s="158">
        <v>5</v>
      </c>
      <c r="M17" s="206">
        <v>45126</v>
      </c>
      <c r="N17" s="243">
        <f t="shared" si="0"/>
        <v>45146</v>
      </c>
      <c r="O17" s="89">
        <f t="shared" si="1"/>
        <v>45406</v>
      </c>
      <c r="P17" s="143" t="s">
        <v>497</v>
      </c>
      <c r="Q17" s="143" t="s">
        <v>315</v>
      </c>
      <c r="R17" s="257">
        <v>44846</v>
      </c>
      <c r="S17" s="89" t="s">
        <v>330</v>
      </c>
      <c r="T17" s="258" t="s">
        <v>417</v>
      </c>
      <c r="U17" s="89"/>
    </row>
    <row r="18" spans="1:21" s="143" customFormat="1" x14ac:dyDescent="0.3">
      <c r="A18" s="238">
        <v>17</v>
      </c>
      <c r="B18" s="261" t="s">
        <v>134</v>
      </c>
      <c r="C18" s="240" t="s">
        <v>187</v>
      </c>
      <c r="D18" s="84" t="s">
        <v>237</v>
      </c>
      <c r="E18" s="84" t="s">
        <v>109</v>
      </c>
      <c r="F18" s="241">
        <v>41436</v>
      </c>
      <c r="G18" s="242" t="s">
        <v>184</v>
      </c>
      <c r="H18" s="86">
        <v>3</v>
      </c>
      <c r="I18" s="255">
        <v>44867</v>
      </c>
      <c r="J18" s="89" t="s">
        <v>157</v>
      </c>
      <c r="K18" s="256" t="e">
        <f>#REF!</f>
        <v>#REF!</v>
      </c>
      <c r="L18" s="158">
        <v>2</v>
      </c>
      <c r="M18" s="206">
        <v>45147</v>
      </c>
      <c r="N18" s="243">
        <f t="shared" si="0"/>
        <v>45167</v>
      </c>
      <c r="O18" s="89">
        <f t="shared" si="1"/>
        <v>45427</v>
      </c>
      <c r="P18" s="143" t="s">
        <v>498</v>
      </c>
      <c r="Q18" s="143" t="s">
        <v>315</v>
      </c>
      <c r="R18" s="257">
        <v>44867</v>
      </c>
      <c r="S18" s="89" t="s">
        <v>342</v>
      </c>
      <c r="T18" s="258" t="s">
        <v>417</v>
      </c>
      <c r="U18" s="89"/>
    </row>
    <row r="19" spans="1:21" s="143" customFormat="1" x14ac:dyDescent="0.3">
      <c r="A19" s="238">
        <v>18</v>
      </c>
      <c r="B19" s="261" t="s">
        <v>235</v>
      </c>
      <c r="C19" s="240" t="s">
        <v>184</v>
      </c>
      <c r="D19" s="84" t="s">
        <v>236</v>
      </c>
      <c r="E19" s="84" t="s">
        <v>109</v>
      </c>
      <c r="F19" s="241">
        <v>41192</v>
      </c>
      <c r="G19" s="242" t="s">
        <v>222</v>
      </c>
      <c r="H19" s="86">
        <v>4</v>
      </c>
      <c r="I19" s="255">
        <v>44878</v>
      </c>
      <c r="J19" s="89" t="s">
        <v>160</v>
      </c>
      <c r="K19" s="256" t="e">
        <f>#REF!</f>
        <v>#REF!</v>
      </c>
      <c r="L19" s="158"/>
      <c r="M19" s="206">
        <v>45158</v>
      </c>
      <c r="N19" s="243">
        <f t="shared" si="0"/>
        <v>45178</v>
      </c>
      <c r="O19" s="89">
        <f t="shared" si="1"/>
        <v>45438</v>
      </c>
      <c r="P19" s="143" t="s">
        <v>499</v>
      </c>
      <c r="Q19" s="143" t="s">
        <v>315</v>
      </c>
      <c r="R19" s="257">
        <v>44878</v>
      </c>
      <c r="S19" s="89" t="s">
        <v>316</v>
      </c>
      <c r="T19" s="258" t="s">
        <v>417</v>
      </c>
      <c r="U19" s="89"/>
    </row>
    <row r="20" spans="1:21" s="143" customFormat="1" x14ac:dyDescent="0.3">
      <c r="A20" s="238">
        <v>19</v>
      </c>
      <c r="B20" s="261" t="s">
        <v>233</v>
      </c>
      <c r="C20" s="246" t="s">
        <v>184</v>
      </c>
      <c r="D20" s="100" t="s">
        <v>234</v>
      </c>
      <c r="E20" s="84" t="s">
        <v>108</v>
      </c>
      <c r="F20" s="241">
        <v>41395</v>
      </c>
      <c r="G20" s="242" t="s">
        <v>222</v>
      </c>
      <c r="H20" s="86">
        <v>5</v>
      </c>
      <c r="I20" s="255">
        <v>44884</v>
      </c>
      <c r="J20" s="89" t="s">
        <v>157</v>
      </c>
      <c r="K20" s="256" t="e">
        <f>#REF!</f>
        <v>#REF!</v>
      </c>
      <c r="L20" s="158">
        <v>3</v>
      </c>
      <c r="M20" s="206">
        <v>45164</v>
      </c>
      <c r="N20" s="243">
        <f t="shared" si="0"/>
        <v>45184</v>
      </c>
      <c r="O20" s="89">
        <f t="shared" si="1"/>
        <v>45444</v>
      </c>
      <c r="P20" s="143" t="s">
        <v>500</v>
      </c>
      <c r="Q20" s="143" t="s">
        <v>315</v>
      </c>
      <c r="R20" s="257">
        <v>44884</v>
      </c>
      <c r="S20" s="89" t="s">
        <v>342</v>
      </c>
      <c r="T20" s="258" t="s">
        <v>417</v>
      </c>
      <c r="U20" s="89"/>
    </row>
    <row r="21" spans="1:21" s="143" customFormat="1" x14ac:dyDescent="0.3">
      <c r="A21" s="238">
        <v>20</v>
      </c>
      <c r="B21" s="261" t="s">
        <v>21</v>
      </c>
      <c r="C21" s="240" t="s">
        <v>187</v>
      </c>
      <c r="D21" s="84" t="s">
        <v>22</v>
      </c>
      <c r="E21" s="84" t="s">
        <v>109</v>
      </c>
      <c r="F21" s="241">
        <v>41477</v>
      </c>
      <c r="G21" s="242" t="s">
        <v>184</v>
      </c>
      <c r="H21" s="86">
        <v>4</v>
      </c>
      <c r="I21" s="255">
        <v>44889</v>
      </c>
      <c r="J21" s="89" t="s">
        <v>157</v>
      </c>
      <c r="K21" s="256">
        <v>45162</v>
      </c>
      <c r="L21" s="158">
        <v>3</v>
      </c>
      <c r="M21" s="206">
        <v>45169</v>
      </c>
      <c r="N21" s="243">
        <f t="shared" si="0"/>
        <v>45189</v>
      </c>
      <c r="O21" s="89">
        <f t="shared" si="1"/>
        <v>45449</v>
      </c>
      <c r="P21" s="143" t="s">
        <v>501</v>
      </c>
      <c r="Q21" s="143" t="s">
        <v>315</v>
      </c>
      <c r="R21" s="257">
        <v>44889</v>
      </c>
      <c r="S21" s="89" t="s">
        <v>342</v>
      </c>
      <c r="T21" s="258" t="s">
        <v>417</v>
      </c>
      <c r="U21" s="89"/>
    </row>
    <row r="22" spans="1:21" s="143" customFormat="1" x14ac:dyDescent="0.3">
      <c r="A22" s="238">
        <v>21</v>
      </c>
      <c r="B22" s="261" t="s">
        <v>224</v>
      </c>
      <c r="C22" s="240" t="s">
        <v>184</v>
      </c>
      <c r="D22" s="84" t="s">
        <v>225</v>
      </c>
      <c r="E22" s="84" t="s">
        <v>108</v>
      </c>
      <c r="F22" s="241">
        <v>40704</v>
      </c>
      <c r="G22" s="242" t="s">
        <v>184</v>
      </c>
      <c r="H22" s="86">
        <v>5</v>
      </c>
      <c r="I22" s="255">
        <v>44891</v>
      </c>
      <c r="J22" s="89" t="s">
        <v>157</v>
      </c>
      <c r="K22" s="256">
        <v>45162</v>
      </c>
      <c r="L22" s="158">
        <v>3</v>
      </c>
      <c r="M22" s="206">
        <v>45171</v>
      </c>
      <c r="N22" s="243">
        <f t="shared" si="0"/>
        <v>45191</v>
      </c>
      <c r="O22" s="89">
        <f t="shared" si="1"/>
        <v>45451</v>
      </c>
      <c r="P22" s="89" t="s">
        <v>502</v>
      </c>
      <c r="Q22" s="143" t="s">
        <v>315</v>
      </c>
      <c r="R22" s="257">
        <v>44891</v>
      </c>
      <c r="S22" s="89" t="s">
        <v>316</v>
      </c>
      <c r="T22" s="258" t="s">
        <v>417</v>
      </c>
      <c r="U22" s="89"/>
    </row>
    <row r="23" spans="1:21" s="143" customFormat="1" x14ac:dyDescent="0.3">
      <c r="A23" s="238">
        <v>22</v>
      </c>
      <c r="B23" s="261" t="s">
        <v>133</v>
      </c>
      <c r="C23" s="240" t="s">
        <v>187</v>
      </c>
      <c r="D23" s="84" t="s">
        <v>223</v>
      </c>
      <c r="E23" s="84" t="s">
        <v>109</v>
      </c>
      <c r="F23" s="241">
        <v>41319</v>
      </c>
      <c r="G23" s="242" t="s">
        <v>184</v>
      </c>
      <c r="H23" s="86">
        <v>3</v>
      </c>
      <c r="I23" s="255">
        <v>44901</v>
      </c>
      <c r="J23" s="89" t="s">
        <v>160</v>
      </c>
      <c r="K23" s="256">
        <v>45162</v>
      </c>
      <c r="L23" s="158"/>
      <c r="M23" s="256">
        <v>45201</v>
      </c>
      <c r="N23" s="243">
        <f t="shared" si="0"/>
        <v>45201</v>
      </c>
      <c r="O23" s="89">
        <f t="shared" si="1"/>
        <v>45481</v>
      </c>
      <c r="P23" s="143" t="s">
        <v>503</v>
      </c>
      <c r="Q23" s="143" t="s">
        <v>315</v>
      </c>
      <c r="R23" s="257">
        <v>44901</v>
      </c>
      <c r="S23" s="89" t="s">
        <v>316</v>
      </c>
      <c r="T23" s="258" t="s">
        <v>417</v>
      </c>
      <c r="U23" s="89"/>
    </row>
    <row r="24" spans="1:21" s="143" customFormat="1" x14ac:dyDescent="0.3">
      <c r="A24" s="238">
        <v>23</v>
      </c>
      <c r="B24" s="261" t="s">
        <v>231</v>
      </c>
      <c r="C24" s="240" t="s">
        <v>215</v>
      </c>
      <c r="D24" s="84" t="s">
        <v>232</v>
      </c>
      <c r="E24" s="84" t="s">
        <v>109</v>
      </c>
      <c r="F24" s="241">
        <v>41428</v>
      </c>
      <c r="G24" s="242" t="s">
        <v>184</v>
      </c>
      <c r="H24" s="86">
        <v>5</v>
      </c>
      <c r="I24" s="255">
        <v>44905</v>
      </c>
      <c r="J24" s="89" t="s">
        <v>157</v>
      </c>
      <c r="K24" s="256">
        <v>45162</v>
      </c>
      <c r="L24" s="158">
        <v>3</v>
      </c>
      <c r="M24" s="256" t="e">
        <f>(315-((L24*30)+5))+#REF!</f>
        <v>#REF!</v>
      </c>
      <c r="N24" s="243">
        <f t="shared" si="0"/>
        <v>45205</v>
      </c>
      <c r="O24" s="89" t="e">
        <f t="shared" si="1"/>
        <v>#REF!</v>
      </c>
      <c r="P24" s="143" t="s">
        <v>504</v>
      </c>
      <c r="Q24" s="143" t="s">
        <v>315</v>
      </c>
      <c r="R24" s="257">
        <v>44905</v>
      </c>
      <c r="S24" s="89" t="s">
        <v>316</v>
      </c>
      <c r="T24" s="258" t="s">
        <v>417</v>
      </c>
      <c r="U24" s="89"/>
    </row>
    <row r="25" spans="1:21" s="143" customFormat="1" x14ac:dyDescent="0.3">
      <c r="A25" s="238">
        <v>24</v>
      </c>
      <c r="B25" s="261" t="s">
        <v>229</v>
      </c>
      <c r="C25" s="240" t="s">
        <v>184</v>
      </c>
      <c r="D25" s="84" t="s">
        <v>230</v>
      </c>
      <c r="E25" s="84" t="s">
        <v>108</v>
      </c>
      <c r="F25" s="241">
        <v>40909</v>
      </c>
      <c r="G25" s="242" t="s">
        <v>184</v>
      </c>
      <c r="H25" s="86">
        <v>4</v>
      </c>
      <c r="I25" s="255">
        <v>44909</v>
      </c>
      <c r="J25" s="89" t="s">
        <v>157</v>
      </c>
      <c r="K25" s="256">
        <v>45162</v>
      </c>
      <c r="L25" s="158">
        <v>4</v>
      </c>
      <c r="M25" s="256" t="e">
        <f>(315-((L25*30)+5))+#REF!</f>
        <v>#REF!</v>
      </c>
      <c r="N25" s="243">
        <f t="shared" si="0"/>
        <v>45209</v>
      </c>
      <c r="O25" s="89" t="e">
        <f t="shared" si="1"/>
        <v>#REF!</v>
      </c>
      <c r="P25" s="143" t="s">
        <v>505</v>
      </c>
      <c r="Q25" s="143" t="s">
        <v>325</v>
      </c>
      <c r="R25" s="257">
        <v>44909</v>
      </c>
      <c r="S25" s="89" t="s">
        <v>330</v>
      </c>
      <c r="T25" s="258" t="s">
        <v>431</v>
      </c>
      <c r="U25" s="89"/>
    </row>
    <row r="26" spans="1:21" s="143" customFormat="1" x14ac:dyDescent="0.3">
      <c r="A26" s="238">
        <v>25</v>
      </c>
      <c r="B26" s="261" t="s">
        <v>227</v>
      </c>
      <c r="C26" s="240" t="s">
        <v>215</v>
      </c>
      <c r="D26" s="84" t="s">
        <v>228</v>
      </c>
      <c r="E26" s="84" t="s">
        <v>108</v>
      </c>
      <c r="F26" s="241">
        <v>41826</v>
      </c>
      <c r="G26" s="242" t="s">
        <v>184</v>
      </c>
      <c r="H26" s="86">
        <v>3</v>
      </c>
      <c r="I26" s="255">
        <v>44915</v>
      </c>
      <c r="J26" s="89" t="s">
        <v>160</v>
      </c>
      <c r="K26" s="256">
        <v>45162</v>
      </c>
      <c r="L26" s="158"/>
      <c r="M26" s="257">
        <v>45207</v>
      </c>
      <c r="N26" s="243">
        <f t="shared" si="0"/>
        <v>45215</v>
      </c>
      <c r="O26" s="89">
        <f t="shared" si="1"/>
        <v>45487</v>
      </c>
      <c r="P26" s="143" t="s">
        <v>506</v>
      </c>
      <c r="Q26" s="143" t="s">
        <v>315</v>
      </c>
      <c r="R26" s="257">
        <v>44915</v>
      </c>
      <c r="S26" s="89" t="s">
        <v>330</v>
      </c>
      <c r="T26" s="258" t="s">
        <v>417</v>
      </c>
      <c r="U26" s="89"/>
    </row>
    <row r="27" spans="1:21" s="143" customFormat="1" x14ac:dyDescent="0.3">
      <c r="A27" s="238">
        <v>26</v>
      </c>
      <c r="B27" s="261" t="s">
        <v>136</v>
      </c>
      <c r="C27" s="240" t="s">
        <v>187</v>
      </c>
      <c r="D27" s="84" t="s">
        <v>226</v>
      </c>
      <c r="E27" s="84" t="s">
        <v>109</v>
      </c>
      <c r="F27" s="241">
        <v>41431</v>
      </c>
      <c r="G27" s="242" t="s">
        <v>222</v>
      </c>
      <c r="H27" s="86">
        <v>2</v>
      </c>
      <c r="I27" s="255">
        <v>44927</v>
      </c>
      <c r="J27" s="89" t="s">
        <v>157</v>
      </c>
      <c r="K27" s="256">
        <v>45162</v>
      </c>
      <c r="L27" s="158">
        <v>5</v>
      </c>
      <c r="M27" s="256" t="e">
        <f>(315-((L27*30)+5))+#REF!</f>
        <v>#REF!</v>
      </c>
      <c r="N27" s="243">
        <f t="shared" si="0"/>
        <v>45227</v>
      </c>
      <c r="O27" s="89" t="e">
        <f t="shared" si="1"/>
        <v>#REF!</v>
      </c>
      <c r="P27" s="143" t="s">
        <v>507</v>
      </c>
      <c r="Q27" s="143" t="s">
        <v>315</v>
      </c>
      <c r="R27" s="257">
        <v>44927</v>
      </c>
      <c r="S27" s="89" t="s">
        <v>330</v>
      </c>
      <c r="T27" s="258" t="s">
        <v>417</v>
      </c>
      <c r="U27" s="89"/>
    </row>
    <row r="28" spans="1:21" s="143" customFormat="1" x14ac:dyDescent="0.3">
      <c r="A28" s="238">
        <v>27</v>
      </c>
      <c r="B28" s="261" t="s">
        <v>220</v>
      </c>
      <c r="C28" s="240" t="s">
        <v>184</v>
      </c>
      <c r="D28" s="84" t="s">
        <v>221</v>
      </c>
      <c r="E28" s="84" t="s">
        <v>108</v>
      </c>
      <c r="F28" s="241">
        <v>43128</v>
      </c>
      <c r="G28" s="242" t="s">
        <v>184</v>
      </c>
      <c r="H28" s="86">
        <v>1</v>
      </c>
      <c r="I28" s="255">
        <v>44938</v>
      </c>
      <c r="J28" s="89" t="s">
        <v>157</v>
      </c>
      <c r="K28" s="256">
        <v>45162</v>
      </c>
      <c r="L28" s="158">
        <v>3.5</v>
      </c>
      <c r="M28" s="256" t="e">
        <f>(315-((L28*30)+5))+#REF!</f>
        <v>#REF!</v>
      </c>
      <c r="N28" s="243">
        <f t="shared" si="0"/>
        <v>45238</v>
      </c>
      <c r="O28" s="89" t="e">
        <f t="shared" si="1"/>
        <v>#REF!</v>
      </c>
      <c r="P28" s="143" t="s">
        <v>508</v>
      </c>
      <c r="Q28" s="143" t="s">
        <v>315</v>
      </c>
      <c r="R28" s="257">
        <v>44938</v>
      </c>
      <c r="S28" s="89" t="s">
        <v>316</v>
      </c>
      <c r="T28" s="258" t="s">
        <v>417</v>
      </c>
      <c r="U28" s="89"/>
    </row>
    <row r="29" spans="1:21" s="143" customFormat="1" x14ac:dyDescent="0.3">
      <c r="A29" s="238">
        <v>28</v>
      </c>
      <c r="B29" s="239" t="s">
        <v>267</v>
      </c>
      <c r="C29" s="240" t="s">
        <v>184</v>
      </c>
      <c r="D29" s="84" t="s">
        <v>268</v>
      </c>
      <c r="E29" s="84" t="s">
        <v>108</v>
      </c>
      <c r="F29" s="241">
        <v>40909</v>
      </c>
      <c r="G29" s="242" t="s">
        <v>222</v>
      </c>
      <c r="H29" s="86">
        <v>5</v>
      </c>
      <c r="I29" s="255">
        <v>44940</v>
      </c>
      <c r="J29" s="89" t="s">
        <v>266</v>
      </c>
      <c r="K29" s="256">
        <v>45162</v>
      </c>
      <c r="L29" s="158"/>
      <c r="M29" s="206">
        <v>45224</v>
      </c>
      <c r="N29" s="243">
        <f t="shared" si="0"/>
        <v>45240</v>
      </c>
      <c r="O29" s="89">
        <f t="shared" si="1"/>
        <v>45504</v>
      </c>
      <c r="P29" s="143" t="s">
        <v>509</v>
      </c>
      <c r="Q29" s="143" t="s">
        <v>315</v>
      </c>
      <c r="R29" s="257">
        <v>44940</v>
      </c>
      <c r="S29" s="89" t="s">
        <v>316</v>
      </c>
      <c r="T29" s="258" t="s">
        <v>417</v>
      </c>
      <c r="U29" s="89"/>
    </row>
    <row r="30" spans="1:21" s="143" customFormat="1" x14ac:dyDescent="0.3">
      <c r="A30" s="238">
        <v>29</v>
      </c>
      <c r="B30" s="262" t="s">
        <v>218</v>
      </c>
      <c r="C30" s="245" t="s">
        <v>184</v>
      </c>
      <c r="D30" s="84" t="s">
        <v>219</v>
      </c>
      <c r="E30" s="84" t="s">
        <v>108</v>
      </c>
      <c r="F30" s="241">
        <v>42751</v>
      </c>
      <c r="G30" s="242" t="s">
        <v>184</v>
      </c>
      <c r="H30" s="86">
        <v>2</v>
      </c>
      <c r="I30" s="255">
        <v>44944</v>
      </c>
      <c r="J30" s="89" t="s">
        <v>157</v>
      </c>
      <c r="K30" s="256">
        <v>45162</v>
      </c>
      <c r="L30" s="158">
        <v>5</v>
      </c>
      <c r="M30" s="256" t="e">
        <f>(315-((L30*30)+5))+#REF!</f>
        <v>#REF!</v>
      </c>
      <c r="N30" s="243">
        <f t="shared" si="0"/>
        <v>45244</v>
      </c>
      <c r="O30" s="89" t="e">
        <f t="shared" si="1"/>
        <v>#REF!</v>
      </c>
      <c r="P30" s="143" t="s">
        <v>510</v>
      </c>
      <c r="Q30" s="143" t="s">
        <v>315</v>
      </c>
      <c r="R30" s="257">
        <v>44944</v>
      </c>
      <c r="S30" s="89" t="s">
        <v>330</v>
      </c>
      <c r="T30" s="258" t="s">
        <v>417</v>
      </c>
      <c r="U30" s="89"/>
    </row>
    <row r="31" spans="1:21" s="143" customFormat="1" x14ac:dyDescent="0.3">
      <c r="A31" s="238">
        <v>30</v>
      </c>
      <c r="B31" s="263" t="s">
        <v>265</v>
      </c>
      <c r="C31" s="240" t="s">
        <v>184</v>
      </c>
      <c r="D31" s="84">
        <v>61</v>
      </c>
      <c r="E31" s="84" t="s">
        <v>109</v>
      </c>
      <c r="F31" s="241">
        <v>41192</v>
      </c>
      <c r="G31" s="242" t="s">
        <v>222</v>
      </c>
      <c r="H31" s="86">
        <v>5</v>
      </c>
      <c r="I31" s="255">
        <v>44947</v>
      </c>
      <c r="J31" s="89" t="s">
        <v>266</v>
      </c>
      <c r="K31" s="256">
        <v>45162</v>
      </c>
      <c r="L31" s="158"/>
      <c r="M31" s="206">
        <v>45263</v>
      </c>
      <c r="N31" s="243">
        <f t="shared" si="0"/>
        <v>45247</v>
      </c>
      <c r="O31" s="89">
        <f t="shared" si="1"/>
        <v>45543</v>
      </c>
      <c r="P31" s="143" t="s">
        <v>511</v>
      </c>
      <c r="Q31" s="143" t="s">
        <v>315</v>
      </c>
      <c r="R31" s="257">
        <v>44947</v>
      </c>
      <c r="S31" s="89" t="s">
        <v>330</v>
      </c>
      <c r="T31" s="258" t="s">
        <v>417</v>
      </c>
      <c r="U31" s="89"/>
    </row>
    <row r="32" spans="1:21" s="143" customFormat="1" x14ac:dyDescent="0.3">
      <c r="A32" s="238">
        <v>31</v>
      </c>
      <c r="B32" s="261" t="s">
        <v>217</v>
      </c>
      <c r="C32" s="240" t="s">
        <v>187</v>
      </c>
      <c r="D32" s="84" t="s">
        <v>213</v>
      </c>
      <c r="E32" s="84" t="s">
        <v>109</v>
      </c>
      <c r="F32" s="241">
        <v>42020</v>
      </c>
      <c r="G32" s="242" t="s">
        <v>222</v>
      </c>
      <c r="H32" s="86">
        <v>2</v>
      </c>
      <c r="I32" s="255">
        <v>44953</v>
      </c>
      <c r="J32" s="89" t="s">
        <v>157</v>
      </c>
      <c r="K32" s="256">
        <v>45162</v>
      </c>
      <c r="L32" s="158">
        <v>1</v>
      </c>
      <c r="M32" s="256" t="e">
        <f>(315-((L32*30)+5))+#REF!</f>
        <v>#REF!</v>
      </c>
      <c r="N32" s="243">
        <f t="shared" si="0"/>
        <v>45253</v>
      </c>
      <c r="O32" s="89" t="e">
        <f t="shared" si="1"/>
        <v>#REF!</v>
      </c>
      <c r="P32" s="143" t="s">
        <v>512</v>
      </c>
      <c r="Q32" s="143" t="s">
        <v>315</v>
      </c>
      <c r="R32" s="89">
        <v>44953</v>
      </c>
      <c r="S32" s="89" t="s">
        <v>334</v>
      </c>
      <c r="T32" s="258" t="s">
        <v>473</v>
      </c>
      <c r="U32" s="89"/>
    </row>
    <row r="33" spans="1:21" s="143" customFormat="1" x14ac:dyDescent="0.3">
      <c r="A33" s="238">
        <v>32</v>
      </c>
      <c r="B33" s="261" t="s">
        <v>211</v>
      </c>
      <c r="C33" s="240" t="s">
        <v>187</v>
      </c>
      <c r="D33" s="84" t="s">
        <v>212</v>
      </c>
      <c r="E33" s="84" t="s">
        <v>109</v>
      </c>
      <c r="F33" s="241">
        <v>41719</v>
      </c>
      <c r="G33" s="242" t="s">
        <v>184</v>
      </c>
      <c r="H33" s="86">
        <v>1</v>
      </c>
      <c r="I33" s="255">
        <v>44970</v>
      </c>
      <c r="J33" s="89" t="s">
        <v>160</v>
      </c>
      <c r="K33" s="256">
        <v>45162</v>
      </c>
      <c r="L33" s="158"/>
      <c r="M33" s="257">
        <v>45270</v>
      </c>
      <c r="N33" s="243">
        <f t="shared" si="0"/>
        <v>45270</v>
      </c>
      <c r="O33" s="89">
        <f t="shared" si="1"/>
        <v>45550</v>
      </c>
      <c r="P33" s="143" t="s">
        <v>509</v>
      </c>
      <c r="Q33" s="143" t="s">
        <v>325</v>
      </c>
      <c r="R33" s="257">
        <v>44970</v>
      </c>
      <c r="S33" s="89" t="s">
        <v>330</v>
      </c>
      <c r="T33" s="258" t="s">
        <v>473</v>
      </c>
      <c r="U33" s="89"/>
    </row>
    <row r="34" spans="1:21" s="143" customFormat="1" x14ac:dyDescent="0.3">
      <c r="A34" s="238">
        <v>33</v>
      </c>
      <c r="B34" s="261" t="s">
        <v>209</v>
      </c>
      <c r="C34" s="240" t="s">
        <v>184</v>
      </c>
      <c r="D34" s="84" t="s">
        <v>210</v>
      </c>
      <c r="E34" s="84" t="s">
        <v>109</v>
      </c>
      <c r="F34" s="241">
        <v>40909</v>
      </c>
      <c r="G34" s="242" t="s">
        <v>184</v>
      </c>
      <c r="H34" s="86">
        <v>4</v>
      </c>
      <c r="I34" s="255">
        <v>44980</v>
      </c>
      <c r="J34" s="89" t="s">
        <v>160</v>
      </c>
      <c r="K34" s="256">
        <v>45162</v>
      </c>
      <c r="L34" s="158"/>
      <c r="M34" s="257">
        <v>45280</v>
      </c>
      <c r="N34" s="243">
        <f t="shared" si="0"/>
        <v>45280</v>
      </c>
      <c r="O34" s="89">
        <f>I34+280</f>
        <v>45260</v>
      </c>
      <c r="P34" s="143" t="s">
        <v>513</v>
      </c>
      <c r="Q34" s="143" t="s">
        <v>325</v>
      </c>
      <c r="R34" s="257">
        <v>44980</v>
      </c>
      <c r="S34" s="89" t="s">
        <v>330</v>
      </c>
      <c r="T34" s="258" t="s">
        <v>417</v>
      </c>
      <c r="U34" s="89"/>
    </row>
    <row r="35" spans="1:21" s="143" customFormat="1" x14ac:dyDescent="0.3">
      <c r="A35" s="238">
        <v>34</v>
      </c>
      <c r="B35" s="261" t="s">
        <v>208</v>
      </c>
      <c r="C35" s="240" t="s">
        <v>184</v>
      </c>
      <c r="D35" s="84" t="s">
        <v>34</v>
      </c>
      <c r="E35" s="84" t="s">
        <v>109</v>
      </c>
      <c r="F35" s="241">
        <v>42912</v>
      </c>
      <c r="G35" s="242" t="s">
        <v>184</v>
      </c>
      <c r="H35" s="86">
        <v>1</v>
      </c>
      <c r="I35" s="255">
        <v>44983</v>
      </c>
      <c r="J35" s="89" t="s">
        <v>160</v>
      </c>
      <c r="K35" s="256">
        <v>45162</v>
      </c>
      <c r="L35" s="158"/>
      <c r="M35" s="257">
        <v>45283</v>
      </c>
      <c r="N35" s="243">
        <f t="shared" si="0"/>
        <v>45283</v>
      </c>
      <c r="O35" s="89">
        <f t="shared" ref="O35:O58" si="2">I35+280</f>
        <v>45263</v>
      </c>
      <c r="P35" s="143" t="s">
        <v>514</v>
      </c>
      <c r="Q35" s="143" t="s">
        <v>325</v>
      </c>
      <c r="R35" s="257">
        <v>44983</v>
      </c>
      <c r="S35" s="89" t="s">
        <v>316</v>
      </c>
      <c r="T35" s="258" t="s">
        <v>417</v>
      </c>
      <c r="U35" s="89"/>
    </row>
    <row r="36" spans="1:21" s="143" customFormat="1" x14ac:dyDescent="0.3">
      <c r="A36" s="238">
        <v>35</v>
      </c>
      <c r="B36" s="261" t="s">
        <v>214</v>
      </c>
      <c r="C36" s="240" t="s">
        <v>215</v>
      </c>
      <c r="D36" s="84" t="s">
        <v>216</v>
      </c>
      <c r="E36" s="84" t="s">
        <v>109</v>
      </c>
      <c r="F36" s="241">
        <v>41459</v>
      </c>
      <c r="G36" s="242" t="s">
        <v>184</v>
      </c>
      <c r="H36" s="86">
        <v>5</v>
      </c>
      <c r="I36" s="255">
        <v>44983</v>
      </c>
      <c r="J36" s="89" t="s">
        <v>157</v>
      </c>
      <c r="K36" s="256">
        <v>45162</v>
      </c>
      <c r="L36" s="158">
        <v>3</v>
      </c>
      <c r="M36" s="257">
        <v>45283</v>
      </c>
      <c r="N36" s="243">
        <f t="shared" si="0"/>
        <v>45283</v>
      </c>
      <c r="O36" s="89">
        <f t="shared" si="2"/>
        <v>45263</v>
      </c>
      <c r="P36" s="143" t="s">
        <v>515</v>
      </c>
      <c r="Q36" s="143" t="s">
        <v>315</v>
      </c>
      <c r="R36" s="257">
        <v>44983</v>
      </c>
      <c r="S36" s="89" t="s">
        <v>316</v>
      </c>
      <c r="T36" s="258" t="s">
        <v>417</v>
      </c>
      <c r="U36" s="89"/>
    </row>
    <row r="37" spans="1:21" s="143" customFormat="1" x14ac:dyDescent="0.3">
      <c r="A37" s="238">
        <v>36</v>
      </c>
      <c r="B37" s="261" t="s">
        <v>206</v>
      </c>
      <c r="C37" s="240" t="s">
        <v>184</v>
      </c>
      <c r="D37" s="84" t="s">
        <v>207</v>
      </c>
      <c r="E37" s="84" t="s">
        <v>108</v>
      </c>
      <c r="F37" s="241">
        <v>40544</v>
      </c>
      <c r="G37" s="242" t="s">
        <v>184</v>
      </c>
      <c r="H37" s="86">
        <v>5</v>
      </c>
      <c r="I37" s="255">
        <v>44984</v>
      </c>
      <c r="J37" s="89" t="s">
        <v>160</v>
      </c>
      <c r="K37" s="256">
        <v>45162</v>
      </c>
      <c r="L37" s="158"/>
      <c r="M37" s="257">
        <v>45284</v>
      </c>
      <c r="N37" s="243">
        <f t="shared" si="0"/>
        <v>45284</v>
      </c>
      <c r="O37" s="89">
        <f t="shared" si="2"/>
        <v>45264</v>
      </c>
      <c r="P37" s="143" t="s">
        <v>509</v>
      </c>
      <c r="Q37" s="143" t="s">
        <v>325</v>
      </c>
      <c r="R37" s="257">
        <v>44984</v>
      </c>
      <c r="S37" s="89" t="s">
        <v>342</v>
      </c>
      <c r="T37" s="258" t="s">
        <v>417</v>
      </c>
      <c r="U37" s="89"/>
    </row>
    <row r="38" spans="1:21" s="143" customFormat="1" x14ac:dyDescent="0.3">
      <c r="A38" s="238">
        <v>37</v>
      </c>
      <c r="B38" s="261" t="s">
        <v>204</v>
      </c>
      <c r="C38" s="240" t="s">
        <v>184</v>
      </c>
      <c r="D38" s="84" t="s">
        <v>194</v>
      </c>
      <c r="E38" s="84" t="s">
        <v>108</v>
      </c>
      <c r="F38" s="241">
        <v>43112</v>
      </c>
      <c r="G38" s="242" t="s">
        <v>184</v>
      </c>
      <c r="H38" s="86">
        <v>1</v>
      </c>
      <c r="I38" s="255">
        <v>44990</v>
      </c>
      <c r="J38" s="89" t="s">
        <v>160</v>
      </c>
      <c r="K38" s="256">
        <v>45162</v>
      </c>
      <c r="L38" s="158"/>
      <c r="M38" s="257">
        <v>45290</v>
      </c>
      <c r="N38" s="243">
        <f t="shared" si="0"/>
        <v>45290</v>
      </c>
      <c r="O38" s="89">
        <f t="shared" si="2"/>
        <v>45270</v>
      </c>
      <c r="P38" s="143" t="s">
        <v>516</v>
      </c>
      <c r="Q38" s="143" t="s">
        <v>324</v>
      </c>
      <c r="R38" s="257">
        <v>44990</v>
      </c>
      <c r="S38" s="89" t="s">
        <v>342</v>
      </c>
      <c r="T38" s="258" t="s">
        <v>417</v>
      </c>
      <c r="U38" s="89"/>
    </row>
    <row r="39" spans="1:21" s="143" customFormat="1" x14ac:dyDescent="0.3">
      <c r="A39" s="238">
        <v>38</v>
      </c>
      <c r="B39" s="261" t="s">
        <v>31</v>
      </c>
      <c r="C39" s="240" t="s">
        <v>187</v>
      </c>
      <c r="D39" s="84" t="s">
        <v>205</v>
      </c>
      <c r="E39" s="84" t="s">
        <v>109</v>
      </c>
      <c r="F39" s="241">
        <v>39094</v>
      </c>
      <c r="G39" s="242" t="s">
        <v>184</v>
      </c>
      <c r="H39" s="86">
        <v>5</v>
      </c>
      <c r="I39" s="255">
        <v>44990</v>
      </c>
      <c r="J39" s="89" t="s">
        <v>160</v>
      </c>
      <c r="K39" s="256">
        <v>45162</v>
      </c>
      <c r="L39" s="158"/>
      <c r="M39" s="257">
        <v>45290</v>
      </c>
      <c r="N39" s="243">
        <f t="shared" si="0"/>
        <v>45290</v>
      </c>
      <c r="O39" s="89">
        <f t="shared" si="2"/>
        <v>45270</v>
      </c>
      <c r="P39" s="143" t="s">
        <v>516</v>
      </c>
      <c r="Q39" s="143" t="s">
        <v>324</v>
      </c>
      <c r="R39" s="257">
        <v>44990</v>
      </c>
      <c r="S39" s="89" t="s">
        <v>316</v>
      </c>
      <c r="T39" s="258" t="s">
        <v>417</v>
      </c>
      <c r="U39" s="89"/>
    </row>
    <row r="40" spans="1:21" s="143" customFormat="1" x14ac:dyDescent="0.3">
      <c r="A40" s="238">
        <v>39</v>
      </c>
      <c r="B40" s="261" t="s">
        <v>202</v>
      </c>
      <c r="C40" s="240" t="s">
        <v>184</v>
      </c>
      <c r="D40" s="84" t="s">
        <v>203</v>
      </c>
      <c r="E40" s="84" t="s">
        <v>108</v>
      </c>
      <c r="F40" s="241">
        <v>42741</v>
      </c>
      <c r="G40" s="242" t="s">
        <v>184</v>
      </c>
      <c r="H40" s="86">
        <v>1</v>
      </c>
      <c r="I40" s="255">
        <v>44993</v>
      </c>
      <c r="J40" s="89" t="s">
        <v>160</v>
      </c>
      <c r="K40" s="256">
        <v>45162</v>
      </c>
      <c r="L40" s="158"/>
      <c r="M40" s="257">
        <v>45232</v>
      </c>
      <c r="N40" s="243">
        <f t="shared" si="0"/>
        <v>45293</v>
      </c>
      <c r="O40" s="89">
        <f t="shared" si="2"/>
        <v>45273</v>
      </c>
      <c r="P40" s="143" t="s">
        <v>517</v>
      </c>
      <c r="Q40" s="143" t="s">
        <v>324</v>
      </c>
      <c r="R40" s="89">
        <v>44993</v>
      </c>
      <c r="S40" s="89" t="s">
        <v>316</v>
      </c>
      <c r="T40" s="258" t="s">
        <v>417</v>
      </c>
      <c r="U40" s="89"/>
    </row>
    <row r="41" spans="1:21" s="143" customFormat="1" x14ac:dyDescent="0.3">
      <c r="A41" s="238">
        <v>40</v>
      </c>
      <c r="B41" s="261" t="s">
        <v>19</v>
      </c>
      <c r="C41" s="240" t="s">
        <v>187</v>
      </c>
      <c r="D41" s="84" t="s">
        <v>201</v>
      </c>
      <c r="E41" s="247" t="s">
        <v>109</v>
      </c>
      <c r="F41" s="241">
        <v>41010</v>
      </c>
      <c r="G41" s="242" t="s">
        <v>184</v>
      </c>
      <c r="H41" s="86">
        <v>5</v>
      </c>
      <c r="I41" s="255">
        <v>45000</v>
      </c>
      <c r="J41" s="89" t="s">
        <v>157</v>
      </c>
      <c r="K41" s="256">
        <v>45162</v>
      </c>
      <c r="L41" s="158">
        <v>2</v>
      </c>
      <c r="M41" s="257">
        <v>45239</v>
      </c>
      <c r="N41" s="243">
        <f t="shared" si="0"/>
        <v>45300</v>
      </c>
      <c r="O41" s="89">
        <f t="shared" si="2"/>
        <v>45280</v>
      </c>
      <c r="P41" s="143" t="s">
        <v>518</v>
      </c>
      <c r="Q41" s="143" t="s">
        <v>315</v>
      </c>
      <c r="R41" s="257">
        <v>45000</v>
      </c>
      <c r="S41" s="89" t="s">
        <v>316</v>
      </c>
      <c r="T41" s="258" t="s">
        <v>417</v>
      </c>
      <c r="U41" s="89"/>
    </row>
    <row r="42" spans="1:21" s="143" customFormat="1" x14ac:dyDescent="0.3">
      <c r="A42" s="238">
        <v>41</v>
      </c>
      <c r="B42" s="261" t="s">
        <v>199</v>
      </c>
      <c r="C42" s="240" t="s">
        <v>184</v>
      </c>
      <c r="D42" s="84" t="s">
        <v>200</v>
      </c>
      <c r="E42" s="84" t="s">
        <v>108</v>
      </c>
      <c r="F42" s="241">
        <v>43139</v>
      </c>
      <c r="G42" s="242" t="s">
        <v>184</v>
      </c>
      <c r="H42" s="86">
        <v>1</v>
      </c>
      <c r="I42" s="255">
        <v>45001</v>
      </c>
      <c r="J42" s="89" t="s">
        <v>160</v>
      </c>
      <c r="K42" s="256">
        <v>45162</v>
      </c>
      <c r="L42" s="158"/>
      <c r="M42" s="257">
        <v>45240</v>
      </c>
      <c r="N42" s="243">
        <f t="shared" si="0"/>
        <v>45301</v>
      </c>
      <c r="O42" s="89">
        <f t="shared" si="2"/>
        <v>45281</v>
      </c>
      <c r="P42" s="143" t="s">
        <v>519</v>
      </c>
      <c r="Q42" s="143" t="s">
        <v>324</v>
      </c>
      <c r="R42" s="257">
        <v>45001</v>
      </c>
      <c r="S42" s="89" t="s">
        <v>316</v>
      </c>
      <c r="T42" s="258" t="s">
        <v>256</v>
      </c>
      <c r="U42" s="89"/>
    </row>
    <row r="43" spans="1:21" s="143" customFormat="1" x14ac:dyDescent="0.3">
      <c r="A43" s="238">
        <v>42</v>
      </c>
      <c r="B43" s="261" t="s">
        <v>196</v>
      </c>
      <c r="C43" s="240" t="s">
        <v>184</v>
      </c>
      <c r="D43" s="84" t="s">
        <v>197</v>
      </c>
      <c r="E43" s="84" t="s">
        <v>108</v>
      </c>
      <c r="F43" s="241">
        <v>42748</v>
      </c>
      <c r="G43" s="242" t="s">
        <v>184</v>
      </c>
      <c r="H43" s="86">
        <v>1</v>
      </c>
      <c r="I43" s="255">
        <v>45003</v>
      </c>
      <c r="J43" s="89" t="s">
        <v>160</v>
      </c>
      <c r="K43" s="256">
        <v>45162</v>
      </c>
      <c r="L43" s="158"/>
      <c r="M43" s="257">
        <v>45242</v>
      </c>
      <c r="N43" s="243">
        <f t="shared" si="0"/>
        <v>45303</v>
      </c>
      <c r="O43" s="89">
        <f t="shared" si="2"/>
        <v>45283</v>
      </c>
      <c r="P43" s="143" t="s">
        <v>520</v>
      </c>
      <c r="Q43" s="143" t="s">
        <v>324</v>
      </c>
      <c r="R43" s="257">
        <v>45003</v>
      </c>
      <c r="S43" s="89" t="s">
        <v>330</v>
      </c>
      <c r="T43" s="258" t="s">
        <v>417</v>
      </c>
      <c r="U43" s="89"/>
    </row>
    <row r="44" spans="1:21" s="143" customFormat="1" x14ac:dyDescent="0.3">
      <c r="A44" s="238">
        <v>43</v>
      </c>
      <c r="B44" s="261" t="s">
        <v>193</v>
      </c>
      <c r="C44" s="240" t="s">
        <v>184</v>
      </c>
      <c r="D44" s="84" t="s">
        <v>195</v>
      </c>
      <c r="E44" s="84" t="s">
        <v>108</v>
      </c>
      <c r="F44" s="241">
        <v>43099</v>
      </c>
      <c r="G44" s="242" t="s">
        <v>184</v>
      </c>
      <c r="H44" s="86">
        <v>1</v>
      </c>
      <c r="I44" s="255">
        <v>45009</v>
      </c>
      <c r="J44" s="89" t="s">
        <v>160</v>
      </c>
      <c r="K44" s="256">
        <v>45162</v>
      </c>
      <c r="L44" s="158"/>
      <c r="M44" s="257">
        <v>45248</v>
      </c>
      <c r="N44" s="243">
        <f t="shared" si="0"/>
        <v>45309</v>
      </c>
      <c r="O44" s="89">
        <f t="shared" si="2"/>
        <v>45289</v>
      </c>
      <c r="P44" s="143" t="s">
        <v>521</v>
      </c>
      <c r="Q44" s="143" t="s">
        <v>324</v>
      </c>
      <c r="R44" s="89">
        <v>45009</v>
      </c>
      <c r="S44" s="89" t="s">
        <v>316</v>
      </c>
      <c r="T44" s="258" t="s">
        <v>417</v>
      </c>
      <c r="U44" s="89"/>
    </row>
    <row r="45" spans="1:21" s="143" customFormat="1" x14ac:dyDescent="0.3">
      <c r="A45" s="238">
        <v>44</v>
      </c>
      <c r="B45" s="261" t="s">
        <v>191</v>
      </c>
      <c r="C45" s="240" t="s">
        <v>184</v>
      </c>
      <c r="D45" s="84" t="s">
        <v>192</v>
      </c>
      <c r="E45" s="84" t="s">
        <v>108</v>
      </c>
      <c r="F45" s="241">
        <v>43140</v>
      </c>
      <c r="G45" s="242" t="s">
        <v>184</v>
      </c>
      <c r="H45" s="86">
        <v>1</v>
      </c>
      <c r="I45" s="255">
        <v>45012</v>
      </c>
      <c r="J45" s="89" t="s">
        <v>160</v>
      </c>
      <c r="K45" s="256">
        <v>45162</v>
      </c>
      <c r="L45" s="158"/>
      <c r="M45" s="257">
        <v>45251</v>
      </c>
      <c r="N45" s="243">
        <f t="shared" si="0"/>
        <v>45312</v>
      </c>
      <c r="O45" s="89">
        <f t="shared" si="2"/>
        <v>45292</v>
      </c>
      <c r="P45" s="143" t="s">
        <v>522</v>
      </c>
      <c r="Q45" s="143" t="s">
        <v>324</v>
      </c>
      <c r="R45" s="257">
        <v>45012</v>
      </c>
      <c r="S45" s="89" t="s">
        <v>316</v>
      </c>
      <c r="T45" s="258" t="s">
        <v>417</v>
      </c>
      <c r="U45" s="89"/>
    </row>
    <row r="46" spans="1:21" s="143" customFormat="1" x14ac:dyDescent="0.3">
      <c r="A46" s="238">
        <v>45</v>
      </c>
      <c r="B46" s="261" t="s">
        <v>188</v>
      </c>
      <c r="C46" s="240" t="s">
        <v>184</v>
      </c>
      <c r="D46" s="84" t="s">
        <v>190</v>
      </c>
      <c r="E46" s="84" t="s">
        <v>108</v>
      </c>
      <c r="F46" s="241">
        <v>43141</v>
      </c>
      <c r="G46" s="242" t="s">
        <v>184</v>
      </c>
      <c r="H46" s="86">
        <v>1</v>
      </c>
      <c r="I46" s="255">
        <v>45013</v>
      </c>
      <c r="J46" s="89" t="s">
        <v>160</v>
      </c>
      <c r="K46" s="256">
        <v>45162</v>
      </c>
      <c r="L46" s="158"/>
      <c r="M46" s="257">
        <v>45252</v>
      </c>
      <c r="N46" s="243">
        <f t="shared" si="0"/>
        <v>45313</v>
      </c>
      <c r="O46" s="89">
        <f t="shared" si="2"/>
        <v>45293</v>
      </c>
      <c r="P46" s="143" t="s">
        <v>523</v>
      </c>
      <c r="Q46" s="143" t="s">
        <v>324</v>
      </c>
      <c r="R46" s="257">
        <v>45013</v>
      </c>
      <c r="S46" s="89" t="s">
        <v>330</v>
      </c>
      <c r="T46" s="258" t="s">
        <v>256</v>
      </c>
      <c r="U46" s="89"/>
    </row>
    <row r="47" spans="1:21" s="143" customFormat="1" x14ac:dyDescent="0.3">
      <c r="A47" s="238">
        <v>46</v>
      </c>
      <c r="B47" s="239" t="s">
        <v>55</v>
      </c>
      <c r="C47" s="240" t="s">
        <v>187</v>
      </c>
      <c r="D47" s="100" t="s">
        <v>56</v>
      </c>
      <c r="E47" s="84" t="s">
        <v>109</v>
      </c>
      <c r="F47" s="241">
        <v>41106</v>
      </c>
      <c r="G47" s="242" t="s">
        <v>222</v>
      </c>
      <c r="H47" s="86">
        <v>5</v>
      </c>
      <c r="I47" s="255">
        <v>45013</v>
      </c>
      <c r="J47" s="89" t="s">
        <v>266</v>
      </c>
      <c r="K47" s="256">
        <v>45162</v>
      </c>
      <c r="L47" s="158"/>
      <c r="M47" s="257">
        <v>45252</v>
      </c>
      <c r="N47" s="243">
        <f t="shared" si="0"/>
        <v>45313</v>
      </c>
      <c r="O47" s="89">
        <f t="shared" si="2"/>
        <v>45293</v>
      </c>
      <c r="P47" s="143" t="s">
        <v>523</v>
      </c>
      <c r="Q47" s="143" t="s">
        <v>324</v>
      </c>
      <c r="R47" s="257">
        <v>45013</v>
      </c>
      <c r="S47" s="89" t="s">
        <v>330</v>
      </c>
      <c r="T47" s="258" t="s">
        <v>417</v>
      </c>
      <c r="U47" s="89"/>
    </row>
    <row r="48" spans="1:21" s="143" customFormat="1" x14ac:dyDescent="0.3">
      <c r="A48" s="238">
        <v>47</v>
      </c>
      <c r="B48" s="263" t="s">
        <v>270</v>
      </c>
      <c r="C48" s="240" t="s">
        <v>271</v>
      </c>
      <c r="D48" s="100" t="s">
        <v>92</v>
      </c>
      <c r="E48" s="84" t="s">
        <v>108</v>
      </c>
      <c r="F48" s="241">
        <v>40826</v>
      </c>
      <c r="G48" s="242" t="s">
        <v>222</v>
      </c>
      <c r="H48" s="86">
        <v>5</v>
      </c>
      <c r="I48" s="255">
        <v>45018</v>
      </c>
      <c r="J48" s="89" t="s">
        <v>266</v>
      </c>
      <c r="K48" s="256">
        <v>45162</v>
      </c>
      <c r="L48" s="158"/>
      <c r="M48" s="257">
        <v>45257</v>
      </c>
      <c r="N48" s="243">
        <f t="shared" si="0"/>
        <v>45318</v>
      </c>
      <c r="O48" s="89">
        <f t="shared" si="2"/>
        <v>45298</v>
      </c>
      <c r="P48" s="143" t="s">
        <v>524</v>
      </c>
      <c r="Q48" s="143" t="s">
        <v>324</v>
      </c>
      <c r="R48" s="257">
        <v>45018</v>
      </c>
      <c r="S48" s="89" t="s">
        <v>342</v>
      </c>
      <c r="T48" s="258" t="s">
        <v>417</v>
      </c>
      <c r="U48" s="89"/>
    </row>
    <row r="49" spans="1:21" s="143" customFormat="1" x14ac:dyDescent="0.3">
      <c r="A49" s="238">
        <v>48</v>
      </c>
      <c r="B49" s="261" t="s">
        <v>180</v>
      </c>
      <c r="C49" s="240" t="s">
        <v>187</v>
      </c>
      <c r="D49" s="84" t="s">
        <v>161</v>
      </c>
      <c r="E49" s="84" t="s">
        <v>109</v>
      </c>
      <c r="F49" s="241">
        <v>41761</v>
      </c>
      <c r="G49" s="242" t="s">
        <v>184</v>
      </c>
      <c r="H49" s="86">
        <v>3</v>
      </c>
      <c r="I49" s="255">
        <v>45023</v>
      </c>
      <c r="J49" s="89" t="s">
        <v>160</v>
      </c>
      <c r="K49" s="256">
        <v>45162</v>
      </c>
      <c r="L49" s="158"/>
      <c r="M49" s="257">
        <v>45292</v>
      </c>
      <c r="N49" s="243">
        <f t="shared" si="0"/>
        <v>45323</v>
      </c>
      <c r="O49" s="89">
        <f t="shared" si="2"/>
        <v>45303</v>
      </c>
      <c r="P49" s="143" t="s">
        <v>525</v>
      </c>
      <c r="Q49" s="143" t="s">
        <v>324</v>
      </c>
      <c r="R49" s="257">
        <v>45023</v>
      </c>
      <c r="S49" s="89" t="s">
        <v>330</v>
      </c>
      <c r="T49" s="258" t="s">
        <v>417</v>
      </c>
      <c r="U49" s="89"/>
    </row>
    <row r="50" spans="1:21" s="143" customFormat="1" x14ac:dyDescent="0.3">
      <c r="A50" s="238">
        <v>49</v>
      </c>
      <c r="B50" s="261" t="s">
        <v>29</v>
      </c>
      <c r="C50" s="240" t="s">
        <v>187</v>
      </c>
      <c r="D50" s="84" t="s">
        <v>30</v>
      </c>
      <c r="E50" s="84" t="s">
        <v>109</v>
      </c>
      <c r="F50" s="241">
        <v>41255</v>
      </c>
      <c r="G50" s="242" t="s">
        <v>184</v>
      </c>
      <c r="H50" s="86">
        <v>4</v>
      </c>
      <c r="I50" s="255">
        <v>45034</v>
      </c>
      <c r="J50" s="89" t="s">
        <v>160</v>
      </c>
      <c r="K50" s="256">
        <v>45162</v>
      </c>
      <c r="L50" s="158"/>
      <c r="M50" s="257">
        <v>45303</v>
      </c>
      <c r="N50" s="243">
        <f t="shared" si="0"/>
        <v>45334</v>
      </c>
      <c r="O50" s="89">
        <f t="shared" si="2"/>
        <v>45314</v>
      </c>
      <c r="P50" s="143" t="s">
        <v>526</v>
      </c>
      <c r="Q50" s="143" t="s">
        <v>324</v>
      </c>
      <c r="R50" s="257">
        <v>45034</v>
      </c>
      <c r="S50" s="89" t="s">
        <v>316</v>
      </c>
      <c r="T50" s="258" t="s">
        <v>417</v>
      </c>
      <c r="U50" s="89"/>
    </row>
    <row r="51" spans="1:21" s="143" customFormat="1" x14ac:dyDescent="0.3">
      <c r="A51" s="238">
        <v>50</v>
      </c>
      <c r="B51" s="261" t="s">
        <v>185</v>
      </c>
      <c r="C51" s="240" t="s">
        <v>187</v>
      </c>
      <c r="D51" s="84" t="s">
        <v>250</v>
      </c>
      <c r="E51" s="84" t="s">
        <v>109</v>
      </c>
      <c r="F51" s="241">
        <v>43166</v>
      </c>
      <c r="G51" s="242" t="s">
        <v>184</v>
      </c>
      <c r="H51" s="86">
        <v>1</v>
      </c>
      <c r="I51" s="255">
        <v>45034</v>
      </c>
      <c r="J51" s="89" t="s">
        <v>160</v>
      </c>
      <c r="K51" s="256">
        <v>45162</v>
      </c>
      <c r="L51" s="158"/>
      <c r="M51" s="257">
        <v>45303</v>
      </c>
      <c r="N51" s="243">
        <f t="shared" si="0"/>
        <v>45334</v>
      </c>
      <c r="O51" s="89">
        <f t="shared" si="2"/>
        <v>45314</v>
      </c>
      <c r="P51" s="143" t="s">
        <v>526</v>
      </c>
      <c r="Q51" s="143" t="s">
        <v>324</v>
      </c>
      <c r="R51" s="257">
        <v>45034</v>
      </c>
      <c r="S51" s="89" t="s">
        <v>316</v>
      </c>
      <c r="T51" s="258" t="s">
        <v>417</v>
      </c>
      <c r="U51" s="89"/>
    </row>
    <row r="52" spans="1:21" s="143" customFormat="1" x14ac:dyDescent="0.3">
      <c r="A52" s="238">
        <v>51</v>
      </c>
      <c r="B52" s="239" t="s">
        <v>83</v>
      </c>
      <c r="C52" s="240" t="s">
        <v>187</v>
      </c>
      <c r="D52" s="84" t="s">
        <v>84</v>
      </c>
      <c r="E52" s="84" t="s">
        <v>108</v>
      </c>
      <c r="F52" s="241">
        <v>41246</v>
      </c>
      <c r="G52" s="242" t="s">
        <v>184</v>
      </c>
      <c r="H52" s="86">
        <v>5</v>
      </c>
      <c r="I52" s="255">
        <v>45052</v>
      </c>
      <c r="J52" s="89" t="s">
        <v>160</v>
      </c>
      <c r="K52" s="256">
        <v>45162</v>
      </c>
      <c r="L52" s="158"/>
      <c r="M52" s="257">
        <v>45292</v>
      </c>
      <c r="N52" s="243">
        <f t="shared" si="0"/>
        <v>45352</v>
      </c>
      <c r="O52" s="89">
        <f t="shared" si="2"/>
        <v>45332</v>
      </c>
      <c r="P52" s="143" t="s">
        <v>527</v>
      </c>
      <c r="Q52" s="143" t="s">
        <v>324</v>
      </c>
      <c r="R52" s="257">
        <v>45052</v>
      </c>
      <c r="S52" s="89" t="s">
        <v>330</v>
      </c>
      <c r="T52" s="258" t="s">
        <v>417</v>
      </c>
      <c r="U52" s="89"/>
    </row>
    <row r="53" spans="1:21" s="143" customFormat="1" x14ac:dyDescent="0.3">
      <c r="A53" s="238">
        <v>52</v>
      </c>
      <c r="B53" s="239" t="s">
        <v>248</v>
      </c>
      <c r="C53" s="240" t="s">
        <v>184</v>
      </c>
      <c r="D53" s="84" t="s">
        <v>249</v>
      </c>
      <c r="E53" s="84" t="s">
        <v>108</v>
      </c>
      <c r="F53" s="241">
        <v>42739</v>
      </c>
      <c r="G53" s="242" t="s">
        <v>184</v>
      </c>
      <c r="H53" s="86">
        <v>1</v>
      </c>
      <c r="I53" s="255">
        <v>45066</v>
      </c>
      <c r="J53" s="89" t="s">
        <v>160</v>
      </c>
      <c r="K53" s="256">
        <v>45162</v>
      </c>
      <c r="L53" s="158"/>
      <c r="M53" s="257">
        <v>45306</v>
      </c>
      <c r="N53" s="243">
        <f t="shared" si="0"/>
        <v>45366</v>
      </c>
      <c r="O53" s="89">
        <f t="shared" si="2"/>
        <v>45346</v>
      </c>
      <c r="P53" s="143" t="s">
        <v>528</v>
      </c>
      <c r="Q53" s="143" t="s">
        <v>324</v>
      </c>
      <c r="R53" s="89">
        <v>45066</v>
      </c>
      <c r="S53" s="89" t="s">
        <v>330</v>
      </c>
      <c r="T53" s="258" t="s">
        <v>417</v>
      </c>
      <c r="U53" s="89"/>
    </row>
    <row r="54" spans="1:21" s="143" customFormat="1" x14ac:dyDescent="0.3">
      <c r="A54" s="238">
        <v>53</v>
      </c>
      <c r="B54" s="239" t="s">
        <v>263</v>
      </c>
      <c r="C54" s="240" t="s">
        <v>184</v>
      </c>
      <c r="D54" s="84" t="s">
        <v>264</v>
      </c>
      <c r="E54" s="84" t="s">
        <v>109</v>
      </c>
      <c r="F54" s="241">
        <v>43118</v>
      </c>
      <c r="G54" s="242" t="s">
        <v>184</v>
      </c>
      <c r="H54" s="86">
        <v>2</v>
      </c>
      <c r="I54" s="255">
        <v>45069</v>
      </c>
      <c r="J54" s="89" t="s">
        <v>160</v>
      </c>
      <c r="K54" s="256">
        <v>45162</v>
      </c>
      <c r="L54" s="158"/>
      <c r="M54" s="257">
        <v>45309</v>
      </c>
      <c r="N54" s="243">
        <f t="shared" si="0"/>
        <v>45369</v>
      </c>
      <c r="O54" s="89">
        <f t="shared" si="2"/>
        <v>45349</v>
      </c>
      <c r="P54" s="143" t="s">
        <v>529</v>
      </c>
      <c r="Q54" s="143" t="s">
        <v>324</v>
      </c>
      <c r="R54" s="257">
        <v>45069</v>
      </c>
      <c r="S54" s="89" t="s">
        <v>316</v>
      </c>
      <c r="T54" s="258" t="s">
        <v>256</v>
      </c>
      <c r="U54" s="89"/>
    </row>
    <row r="55" spans="1:21" s="143" customFormat="1" x14ac:dyDescent="0.3">
      <c r="A55" s="238">
        <v>54</v>
      </c>
      <c r="B55" s="239" t="s">
        <v>262</v>
      </c>
      <c r="C55" s="240" t="s">
        <v>184</v>
      </c>
      <c r="D55" s="84">
        <v>38</v>
      </c>
      <c r="E55" s="84" t="s">
        <v>109</v>
      </c>
      <c r="F55" s="241">
        <v>40461</v>
      </c>
      <c r="G55" s="242" t="s">
        <v>184</v>
      </c>
      <c r="H55" s="86">
        <v>5</v>
      </c>
      <c r="I55" s="255">
        <v>45070</v>
      </c>
      <c r="J55" s="89" t="s">
        <v>160</v>
      </c>
      <c r="K55" s="256">
        <v>45162</v>
      </c>
      <c r="L55" s="158"/>
      <c r="M55" s="257">
        <v>45310</v>
      </c>
      <c r="N55" s="243">
        <f t="shared" si="0"/>
        <v>45370</v>
      </c>
      <c r="O55" s="89">
        <f t="shared" si="2"/>
        <v>45350</v>
      </c>
      <c r="P55" s="143" t="s">
        <v>530</v>
      </c>
      <c r="Q55" s="143" t="s">
        <v>324</v>
      </c>
      <c r="R55" s="257">
        <v>45070</v>
      </c>
      <c r="S55" s="89" t="s">
        <v>316</v>
      </c>
      <c r="T55" s="258" t="s">
        <v>256</v>
      </c>
      <c r="U55" s="89"/>
    </row>
    <row r="56" spans="1:21" s="143" customFormat="1" x14ac:dyDescent="0.3">
      <c r="A56" s="238">
        <v>55</v>
      </c>
      <c r="B56" s="239" t="s">
        <v>251</v>
      </c>
      <c r="C56" s="240" t="s">
        <v>187</v>
      </c>
      <c r="D56" s="84" t="s">
        <v>70</v>
      </c>
      <c r="E56" s="84" t="s">
        <v>109</v>
      </c>
      <c r="F56" s="241">
        <v>41465</v>
      </c>
      <c r="G56" s="242" t="s">
        <v>184</v>
      </c>
      <c r="H56" s="86">
        <v>4</v>
      </c>
      <c r="I56" s="255">
        <v>45075</v>
      </c>
      <c r="J56" s="89" t="s">
        <v>160</v>
      </c>
      <c r="K56" s="256">
        <v>45162</v>
      </c>
      <c r="L56" s="158"/>
      <c r="M56" s="257">
        <v>45315</v>
      </c>
      <c r="N56" s="243">
        <f t="shared" si="0"/>
        <v>45375</v>
      </c>
      <c r="O56" s="143">
        <f t="shared" si="2"/>
        <v>45355</v>
      </c>
      <c r="P56" s="143" t="s">
        <v>531</v>
      </c>
      <c r="Q56" s="143" t="s">
        <v>324</v>
      </c>
      <c r="R56" s="257">
        <v>45075</v>
      </c>
      <c r="S56" s="143" t="s">
        <v>316</v>
      </c>
      <c r="T56" s="258" t="s">
        <v>417</v>
      </c>
    </row>
    <row r="57" spans="1:21" s="265" customFormat="1" x14ac:dyDescent="0.3">
      <c r="A57" s="238">
        <v>56</v>
      </c>
      <c r="B57" s="261" t="s">
        <v>189</v>
      </c>
      <c r="C57" s="240" t="s">
        <v>184</v>
      </c>
      <c r="D57" s="84" t="s">
        <v>183</v>
      </c>
      <c r="E57" s="84" t="s">
        <v>109</v>
      </c>
      <c r="F57" s="241">
        <v>43142</v>
      </c>
      <c r="G57" s="242" t="s">
        <v>184</v>
      </c>
      <c r="H57" s="86">
        <v>1</v>
      </c>
      <c r="I57" s="255">
        <v>45076</v>
      </c>
      <c r="J57" s="89" t="s">
        <v>160</v>
      </c>
      <c r="K57" s="256">
        <v>45162</v>
      </c>
      <c r="L57" s="158"/>
      <c r="M57" s="264">
        <v>45347</v>
      </c>
      <c r="N57" s="243">
        <f t="shared" si="0"/>
        <v>45376</v>
      </c>
      <c r="O57" s="143">
        <f t="shared" si="2"/>
        <v>45356</v>
      </c>
      <c r="P57" s="265" t="s">
        <v>532</v>
      </c>
      <c r="Q57" s="143" t="s">
        <v>324</v>
      </c>
      <c r="R57" s="264">
        <v>45076</v>
      </c>
      <c r="S57" s="143" t="s">
        <v>316</v>
      </c>
      <c r="T57" s="258" t="s">
        <v>417</v>
      </c>
      <c r="U57" s="143"/>
    </row>
    <row r="58" spans="1:21" x14ac:dyDescent="0.3">
      <c r="A58" s="122"/>
      <c r="B58" s="125"/>
      <c r="C58" s="120"/>
      <c r="D58" s="120"/>
      <c r="E58" s="120"/>
      <c r="F58" s="150"/>
      <c r="G58" s="120"/>
      <c r="H58" s="120"/>
      <c r="I58" s="120"/>
      <c r="J58" s="120"/>
      <c r="K58" s="138"/>
      <c r="L58" s="120"/>
      <c r="M58" s="120"/>
      <c r="N58" s="132"/>
      <c r="O58" s="139">
        <f t="shared" si="2"/>
        <v>280</v>
      </c>
      <c r="P58" s="139"/>
      <c r="Q58" s="139"/>
      <c r="R58" s="139"/>
      <c r="S58" s="139"/>
      <c r="T58" s="219"/>
      <c r="U58" s="139"/>
    </row>
  </sheetData>
  <autoFilter ref="A1:O58" xr:uid="{00000000-0009-0000-0000-000009000000}">
    <sortState xmlns:xlrd2="http://schemas.microsoft.com/office/spreadsheetml/2017/richdata2" ref="A2:O53">
      <sortCondition ref="M1"/>
    </sortState>
  </autoFilter>
  <sortState xmlns:xlrd2="http://schemas.microsoft.com/office/spreadsheetml/2017/richdata2" ref="A2:M58">
    <sortCondition ref="I3:I58"/>
  </sortState>
  <phoneticPr fontId="12" type="noConversion"/>
  <pageMargins left="0.7" right="0.7" top="0.75" bottom="0.75" header="0.3" footer="0.3"/>
  <pageSetup orientation="portrait" r:id="rId1"/>
  <ignoredErrors>
    <ignoredError sqref="B2:B5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9"/>
  <sheetViews>
    <sheetView showGridLines="0" zoomScaleNormal="100" workbookViewId="0">
      <pane xSplit="4" ySplit="2" topLeftCell="BC3" activePane="bottomRight" state="frozen"/>
      <selection activeCell="I219" sqref="I219"/>
      <selection pane="topRight" activeCell="I219" sqref="I219"/>
      <selection pane="bottomLeft" activeCell="I219" sqref="I219"/>
      <selection pane="bottomRight" activeCell="A3" sqref="A3:XFD49"/>
    </sheetView>
  </sheetViews>
  <sheetFormatPr defaultRowHeight="14.4" x14ac:dyDescent="0.3"/>
  <cols>
    <col min="1" max="1" width="8.88671875" style="231"/>
    <col min="2" max="2" width="9.109375" style="139" customWidth="1"/>
    <col min="3" max="3" width="8.33203125" style="253" customWidth="1"/>
    <col min="4" max="4" width="17.33203125" style="50" customWidth="1"/>
    <col min="5" max="5" width="14.33203125" style="50" bestFit="1" customWidth="1"/>
    <col min="6" max="6" width="13.6640625" style="254" customWidth="1"/>
    <col min="7" max="7" width="13.5546875" style="253" customWidth="1"/>
    <col min="8" max="8" width="12.109375" style="50" customWidth="1"/>
    <col min="9" max="9" width="15.44140625" style="254" bestFit="1" customWidth="1"/>
    <col min="10" max="10" width="9.33203125" style="139" customWidth="1"/>
    <col min="11" max="11" width="10.6640625" style="139" bestFit="1" customWidth="1"/>
    <col min="12" max="12" width="14.44140625" style="139" bestFit="1" customWidth="1"/>
    <col min="13" max="13" width="12.44140625" style="139" customWidth="1"/>
    <col min="14" max="14" width="10.33203125" style="139" customWidth="1"/>
    <col min="15" max="15" width="13.109375" style="139" hidden="1" customWidth="1"/>
    <col min="16" max="16" width="30.77734375" style="139" customWidth="1"/>
    <col min="17" max="17" width="22.21875" style="139" customWidth="1"/>
    <col min="18" max="18" width="19.88671875" style="139" customWidth="1"/>
    <col min="19" max="19" width="18.88671875" style="139" customWidth="1"/>
    <col min="20" max="20" width="19" style="219" customWidth="1"/>
    <col min="21" max="21" width="19.6640625" style="139" customWidth="1"/>
    <col min="22" max="16384" width="8.88671875" style="139"/>
  </cols>
  <sheetData>
    <row r="1" spans="1:21" s="216" customFormat="1" x14ac:dyDescent="0.3">
      <c r="A1" s="248"/>
      <c r="C1" s="249"/>
      <c r="D1" s="250"/>
      <c r="E1" s="250"/>
      <c r="F1" s="251"/>
      <c r="G1" s="249"/>
      <c r="H1" s="250"/>
      <c r="I1" s="251"/>
      <c r="L1" s="153"/>
      <c r="M1" s="139"/>
      <c r="N1" s="139"/>
      <c r="O1" s="139"/>
      <c r="P1" s="139"/>
      <c r="Q1" s="139"/>
      <c r="R1" s="139"/>
      <c r="S1" s="139"/>
      <c r="T1" s="219"/>
      <c r="U1" s="139"/>
    </row>
    <row r="2" spans="1:21" x14ac:dyDescent="0.3">
      <c r="A2" s="61" t="s">
        <v>0</v>
      </c>
      <c r="B2" s="61" t="s">
        <v>1</v>
      </c>
      <c r="C2" s="61" t="s">
        <v>186</v>
      </c>
      <c r="D2" s="61" t="s">
        <v>2</v>
      </c>
      <c r="E2" s="61" t="s">
        <v>104</v>
      </c>
      <c r="F2" s="61" t="s">
        <v>100</v>
      </c>
      <c r="G2" s="61" t="s">
        <v>198</v>
      </c>
      <c r="H2" s="61" t="s">
        <v>101</v>
      </c>
      <c r="I2" s="61" t="s">
        <v>158</v>
      </c>
      <c r="J2" s="61" t="s">
        <v>106</v>
      </c>
      <c r="K2" s="61" t="s">
        <v>99</v>
      </c>
      <c r="L2" s="61" t="s">
        <v>159</v>
      </c>
      <c r="M2" s="61" t="s">
        <v>97</v>
      </c>
      <c r="N2" s="61" t="s">
        <v>118</v>
      </c>
      <c r="O2" s="61" t="s">
        <v>118</v>
      </c>
      <c r="P2" s="61" t="s">
        <v>295</v>
      </c>
      <c r="Q2" s="61" t="s">
        <v>296</v>
      </c>
      <c r="R2" s="61" t="s">
        <v>297</v>
      </c>
      <c r="S2" s="61" t="s">
        <v>298</v>
      </c>
      <c r="T2" s="252" t="s">
        <v>299</v>
      </c>
      <c r="U2" s="61" t="s">
        <v>300</v>
      </c>
    </row>
    <row r="3" spans="1:21" s="143" customFormat="1" x14ac:dyDescent="0.3">
      <c r="A3" s="238">
        <v>1</v>
      </c>
      <c r="B3" s="239" t="s">
        <v>252</v>
      </c>
      <c r="C3" s="240" t="s">
        <v>215</v>
      </c>
      <c r="D3" s="84" t="s">
        <v>253</v>
      </c>
      <c r="E3" s="84" t="s">
        <v>108</v>
      </c>
      <c r="F3" s="241">
        <v>43170</v>
      </c>
      <c r="G3" s="242" t="s">
        <v>184</v>
      </c>
      <c r="H3" s="86">
        <v>2</v>
      </c>
      <c r="I3" s="255">
        <v>45352</v>
      </c>
      <c r="J3" s="89" t="s">
        <v>160</v>
      </c>
      <c r="K3" s="256">
        <f>$L$1</f>
        <v>0</v>
      </c>
      <c r="L3" s="158"/>
      <c r="M3" s="243">
        <f>H3+300</f>
        <v>302</v>
      </c>
      <c r="N3" s="243">
        <f t="shared" ref="N3:N49" si="0">I3+300</f>
        <v>45652</v>
      </c>
      <c r="O3" s="89">
        <f t="shared" ref="O3:O26" si="1">M3+280</f>
        <v>582</v>
      </c>
      <c r="P3" s="89" t="s">
        <v>433</v>
      </c>
      <c r="Q3" s="89" t="s">
        <v>324</v>
      </c>
      <c r="R3" s="257">
        <v>45352</v>
      </c>
      <c r="S3" s="89" t="s">
        <v>316</v>
      </c>
      <c r="T3" s="258">
        <v>21</v>
      </c>
      <c r="U3" s="89" t="s">
        <v>307</v>
      </c>
    </row>
    <row r="4" spans="1:21" s="143" customFormat="1" x14ac:dyDescent="0.3">
      <c r="A4" s="238">
        <v>2</v>
      </c>
      <c r="B4" s="239" t="s">
        <v>244</v>
      </c>
      <c r="C4" s="240" t="s">
        <v>215</v>
      </c>
      <c r="D4" s="84" t="s">
        <v>245</v>
      </c>
      <c r="E4" s="84" t="s">
        <v>108</v>
      </c>
      <c r="F4" s="241">
        <v>43177</v>
      </c>
      <c r="G4" s="242" t="s">
        <v>184</v>
      </c>
      <c r="H4" s="86">
        <v>2</v>
      </c>
      <c r="I4" s="255">
        <v>45268</v>
      </c>
      <c r="J4" s="89" t="s">
        <v>160</v>
      </c>
      <c r="K4" s="256">
        <f t="shared" ref="K4:K49" si="2">$L$1</f>
        <v>0</v>
      </c>
      <c r="L4" s="158"/>
      <c r="M4" s="256"/>
      <c r="N4" s="243">
        <f t="shared" si="0"/>
        <v>45568</v>
      </c>
      <c r="O4" s="89">
        <f t="shared" si="1"/>
        <v>280</v>
      </c>
      <c r="P4" s="143" t="s">
        <v>434</v>
      </c>
      <c r="Q4" s="89" t="s">
        <v>324</v>
      </c>
      <c r="R4" s="257">
        <v>45268</v>
      </c>
      <c r="S4" s="89" t="s">
        <v>342</v>
      </c>
      <c r="T4" s="258" t="s">
        <v>417</v>
      </c>
      <c r="U4" s="89" t="s">
        <v>307</v>
      </c>
    </row>
    <row r="5" spans="1:21" s="143" customFormat="1" x14ac:dyDescent="0.3">
      <c r="A5" s="238">
        <v>3</v>
      </c>
      <c r="B5" s="239" t="s">
        <v>239</v>
      </c>
      <c r="C5" s="240" t="s">
        <v>187</v>
      </c>
      <c r="D5" s="84" t="s">
        <v>4</v>
      </c>
      <c r="E5" s="244" t="s">
        <v>109</v>
      </c>
      <c r="F5" s="241">
        <v>41524</v>
      </c>
      <c r="G5" s="242" t="s">
        <v>184</v>
      </c>
      <c r="H5" s="86">
        <v>4</v>
      </c>
      <c r="I5" s="255">
        <v>45291</v>
      </c>
      <c r="J5" s="89" t="s">
        <v>160</v>
      </c>
      <c r="K5" s="256">
        <f t="shared" si="2"/>
        <v>0</v>
      </c>
      <c r="L5" s="158"/>
      <c r="M5" s="256"/>
      <c r="N5" s="243">
        <f t="shared" si="0"/>
        <v>45591</v>
      </c>
      <c r="O5" s="89">
        <f t="shared" si="1"/>
        <v>280</v>
      </c>
      <c r="P5" s="143" t="s">
        <v>435</v>
      </c>
      <c r="Q5" s="89" t="s">
        <v>324</v>
      </c>
      <c r="R5" s="257">
        <v>45291</v>
      </c>
      <c r="S5" s="89" t="s">
        <v>316</v>
      </c>
      <c r="T5" s="258" t="s">
        <v>417</v>
      </c>
      <c r="U5" s="89" t="s">
        <v>307</v>
      </c>
    </row>
    <row r="6" spans="1:21" s="143" customFormat="1" x14ac:dyDescent="0.3">
      <c r="A6" s="238">
        <v>4</v>
      </c>
      <c r="B6" s="239" t="s">
        <v>246</v>
      </c>
      <c r="C6" s="240" t="s">
        <v>187</v>
      </c>
      <c r="D6" s="84" t="s">
        <v>247</v>
      </c>
      <c r="E6" s="84" t="s">
        <v>108</v>
      </c>
      <c r="F6" s="241">
        <v>41463</v>
      </c>
      <c r="G6" s="242" t="s">
        <v>184</v>
      </c>
      <c r="H6" s="86">
        <v>5</v>
      </c>
      <c r="I6" s="255">
        <v>45222</v>
      </c>
      <c r="J6" s="89" t="s">
        <v>160</v>
      </c>
      <c r="K6" s="256">
        <f t="shared" si="2"/>
        <v>0</v>
      </c>
      <c r="L6" s="158"/>
      <c r="M6" s="256"/>
      <c r="N6" s="243">
        <f t="shared" si="0"/>
        <v>45522</v>
      </c>
      <c r="O6" s="89">
        <f t="shared" si="1"/>
        <v>280</v>
      </c>
      <c r="P6" s="143" t="s">
        <v>436</v>
      </c>
      <c r="Q6" s="89" t="s">
        <v>324</v>
      </c>
      <c r="R6" s="89">
        <v>45222</v>
      </c>
      <c r="S6" s="89" t="s">
        <v>316</v>
      </c>
      <c r="T6" s="258" t="s">
        <v>417</v>
      </c>
      <c r="U6" s="89" t="s">
        <v>302</v>
      </c>
    </row>
    <row r="7" spans="1:21" s="143" customFormat="1" x14ac:dyDescent="0.3">
      <c r="A7" s="238">
        <v>5</v>
      </c>
      <c r="B7" s="239" t="s">
        <v>23</v>
      </c>
      <c r="C7" s="240" t="s">
        <v>187</v>
      </c>
      <c r="D7" s="84" t="s">
        <v>26</v>
      </c>
      <c r="E7" s="84" t="s">
        <v>109</v>
      </c>
      <c r="F7" s="241">
        <v>41565</v>
      </c>
      <c r="G7" s="242" t="s">
        <v>222</v>
      </c>
      <c r="H7" s="86">
        <v>4</v>
      </c>
      <c r="I7" s="255">
        <v>44770</v>
      </c>
      <c r="J7" s="89" t="s">
        <v>276</v>
      </c>
      <c r="K7" s="256">
        <f t="shared" si="2"/>
        <v>0</v>
      </c>
      <c r="L7" s="158"/>
      <c r="M7" s="256"/>
      <c r="N7" s="243">
        <f t="shared" si="0"/>
        <v>45070</v>
      </c>
      <c r="O7" s="89">
        <f t="shared" si="1"/>
        <v>280</v>
      </c>
      <c r="P7" s="143" t="s">
        <v>437</v>
      </c>
      <c r="Q7" s="89" t="s">
        <v>325</v>
      </c>
      <c r="R7" s="257">
        <v>44770</v>
      </c>
      <c r="S7" s="89" t="s">
        <v>330</v>
      </c>
      <c r="T7" s="258" t="s">
        <v>256</v>
      </c>
      <c r="U7" s="89" t="s">
        <v>302</v>
      </c>
    </row>
    <row r="8" spans="1:21" s="143" customFormat="1" x14ac:dyDescent="0.3">
      <c r="A8" s="238">
        <v>6</v>
      </c>
      <c r="B8" s="239" t="s">
        <v>47</v>
      </c>
      <c r="C8" s="240" t="s">
        <v>187</v>
      </c>
      <c r="D8" s="84" t="s">
        <v>48</v>
      </c>
      <c r="E8" s="84" t="s">
        <v>109</v>
      </c>
      <c r="F8" s="241">
        <v>41156</v>
      </c>
      <c r="G8" s="242" t="s">
        <v>222</v>
      </c>
      <c r="H8" s="86">
        <v>5</v>
      </c>
      <c r="I8" s="255">
        <v>44772</v>
      </c>
      <c r="J8" s="89" t="s">
        <v>160</v>
      </c>
      <c r="K8" s="256">
        <f t="shared" si="2"/>
        <v>0</v>
      </c>
      <c r="L8" s="158"/>
      <c r="M8" s="256"/>
      <c r="N8" s="243">
        <f t="shared" si="0"/>
        <v>45072</v>
      </c>
      <c r="O8" s="89">
        <f t="shared" si="1"/>
        <v>280</v>
      </c>
      <c r="P8" s="143" t="s">
        <v>438</v>
      </c>
      <c r="Q8" s="89" t="s">
        <v>325</v>
      </c>
      <c r="R8" s="257">
        <v>44772</v>
      </c>
      <c r="S8" s="89" t="s">
        <v>330</v>
      </c>
      <c r="T8" s="258" t="s">
        <v>417</v>
      </c>
      <c r="U8" s="89" t="s">
        <v>302</v>
      </c>
    </row>
    <row r="9" spans="1:21" s="143" customFormat="1" x14ac:dyDescent="0.3">
      <c r="A9" s="238">
        <v>7</v>
      </c>
      <c r="B9" s="239" t="s">
        <v>57</v>
      </c>
      <c r="C9" s="240" t="s">
        <v>187</v>
      </c>
      <c r="D9" s="84" t="s">
        <v>58</v>
      </c>
      <c r="E9" s="84" t="s">
        <v>109</v>
      </c>
      <c r="F9" s="241">
        <v>41247</v>
      </c>
      <c r="G9" s="242" t="s">
        <v>222</v>
      </c>
      <c r="H9" s="86">
        <v>4</v>
      </c>
      <c r="I9" s="255">
        <v>44776</v>
      </c>
      <c r="J9" s="89" t="s">
        <v>276</v>
      </c>
      <c r="K9" s="256">
        <f t="shared" si="2"/>
        <v>0</v>
      </c>
      <c r="L9" s="158"/>
      <c r="M9" s="256"/>
      <c r="N9" s="243">
        <f t="shared" si="0"/>
        <v>45076</v>
      </c>
      <c r="O9" s="89">
        <f t="shared" si="1"/>
        <v>280</v>
      </c>
      <c r="P9" s="143" t="s">
        <v>439</v>
      </c>
      <c r="Q9" s="89" t="s">
        <v>325</v>
      </c>
      <c r="R9" s="257">
        <v>44776</v>
      </c>
      <c r="S9" s="89" t="s">
        <v>330</v>
      </c>
      <c r="T9" s="258" t="s">
        <v>417</v>
      </c>
      <c r="U9" s="89" t="s">
        <v>307</v>
      </c>
    </row>
    <row r="10" spans="1:21" s="143" customFormat="1" x14ac:dyDescent="0.3">
      <c r="A10" s="238">
        <v>8</v>
      </c>
      <c r="B10" s="239" t="s">
        <v>240</v>
      </c>
      <c r="C10" s="240" t="s">
        <v>187</v>
      </c>
      <c r="D10" s="84" t="s">
        <v>241</v>
      </c>
      <c r="E10" s="84" t="s">
        <v>109</v>
      </c>
      <c r="F10" s="241">
        <v>41496</v>
      </c>
      <c r="G10" s="242" t="s">
        <v>184</v>
      </c>
      <c r="H10" s="86">
        <v>6</v>
      </c>
      <c r="I10" s="255">
        <v>45261</v>
      </c>
      <c r="J10" s="89" t="s">
        <v>276</v>
      </c>
      <c r="K10" s="256">
        <f t="shared" si="2"/>
        <v>0</v>
      </c>
      <c r="L10" s="158"/>
      <c r="M10" s="256"/>
      <c r="N10" s="243">
        <f t="shared" si="0"/>
        <v>45561</v>
      </c>
      <c r="O10" s="89">
        <f t="shared" si="1"/>
        <v>280</v>
      </c>
      <c r="P10" s="143" t="s">
        <v>440</v>
      </c>
      <c r="Q10" s="89" t="s">
        <v>324</v>
      </c>
      <c r="R10" s="257">
        <v>45261</v>
      </c>
      <c r="S10" s="89" t="s">
        <v>453</v>
      </c>
      <c r="T10" s="258" t="s">
        <v>432</v>
      </c>
      <c r="U10" s="89" t="s">
        <v>302</v>
      </c>
    </row>
    <row r="11" spans="1:21" s="143" customFormat="1" x14ac:dyDescent="0.3">
      <c r="A11" s="238">
        <v>9</v>
      </c>
      <c r="B11" s="100">
        <v>170309</v>
      </c>
      <c r="C11" s="245" t="s">
        <v>184</v>
      </c>
      <c r="D11" s="84" t="s">
        <v>238</v>
      </c>
      <c r="E11" s="84" t="s">
        <v>109</v>
      </c>
      <c r="F11" s="241">
        <v>42800</v>
      </c>
      <c r="G11" s="242" t="s">
        <v>184</v>
      </c>
      <c r="H11" s="86">
        <v>2</v>
      </c>
      <c r="I11" s="255">
        <v>45413</v>
      </c>
      <c r="J11" s="89" t="s">
        <v>160</v>
      </c>
      <c r="K11" s="256">
        <f t="shared" si="2"/>
        <v>0</v>
      </c>
      <c r="L11" s="158"/>
      <c r="M11" s="256"/>
      <c r="N11" s="243">
        <f t="shared" si="0"/>
        <v>45713</v>
      </c>
      <c r="O11" s="89">
        <f t="shared" si="1"/>
        <v>280</v>
      </c>
      <c r="P11" s="143" t="s">
        <v>441</v>
      </c>
      <c r="Q11" s="89" t="s">
        <v>324</v>
      </c>
      <c r="R11" s="257">
        <v>45413</v>
      </c>
      <c r="S11" s="89" t="s">
        <v>316</v>
      </c>
      <c r="T11" s="258" t="s">
        <v>432</v>
      </c>
      <c r="U11" s="89" t="s">
        <v>307</v>
      </c>
    </row>
    <row r="12" spans="1:21" s="143" customFormat="1" x14ac:dyDescent="0.3">
      <c r="A12" s="238">
        <v>10</v>
      </c>
      <c r="B12" s="239" t="s">
        <v>242</v>
      </c>
      <c r="C12" s="240" t="s">
        <v>187</v>
      </c>
      <c r="D12" s="84" t="s">
        <v>243</v>
      </c>
      <c r="E12" s="84" t="s">
        <v>109</v>
      </c>
      <c r="F12" s="241">
        <v>41526</v>
      </c>
      <c r="G12" s="242" t="s">
        <v>184</v>
      </c>
      <c r="H12" s="86">
        <v>5</v>
      </c>
      <c r="I12" s="255">
        <v>45297</v>
      </c>
      <c r="J12" s="89" t="s">
        <v>276</v>
      </c>
      <c r="K12" s="256">
        <f t="shared" si="2"/>
        <v>0</v>
      </c>
      <c r="L12" s="158"/>
      <c r="M12" s="256"/>
      <c r="N12" s="243">
        <f t="shared" si="0"/>
        <v>45597</v>
      </c>
      <c r="O12" s="89">
        <f t="shared" si="1"/>
        <v>280</v>
      </c>
      <c r="P12" s="143" t="s">
        <v>442</v>
      </c>
      <c r="Q12" s="89" t="s">
        <v>324</v>
      </c>
      <c r="R12" s="257">
        <v>45297</v>
      </c>
      <c r="S12" s="89" t="s">
        <v>316</v>
      </c>
      <c r="T12" s="258" t="s">
        <v>417</v>
      </c>
      <c r="U12" s="89" t="s">
        <v>302</v>
      </c>
    </row>
    <row r="13" spans="1:21" s="143" customFormat="1" x14ac:dyDescent="0.3">
      <c r="A13" s="238">
        <v>11</v>
      </c>
      <c r="B13" s="239" t="s">
        <v>134</v>
      </c>
      <c r="C13" s="240" t="s">
        <v>187</v>
      </c>
      <c r="D13" s="84" t="s">
        <v>237</v>
      </c>
      <c r="E13" s="84" t="s">
        <v>109</v>
      </c>
      <c r="F13" s="241">
        <v>41436</v>
      </c>
      <c r="G13" s="242" t="s">
        <v>184</v>
      </c>
      <c r="H13" s="86">
        <v>4</v>
      </c>
      <c r="I13" s="255">
        <v>45323</v>
      </c>
      <c r="J13" s="89" t="s">
        <v>160</v>
      </c>
      <c r="K13" s="256">
        <f t="shared" si="2"/>
        <v>0</v>
      </c>
      <c r="L13" s="158"/>
      <c r="M13" s="256"/>
      <c r="N13" s="243">
        <f t="shared" si="0"/>
        <v>45623</v>
      </c>
      <c r="O13" s="89">
        <f t="shared" si="1"/>
        <v>280</v>
      </c>
      <c r="P13" s="143" t="s">
        <v>443</v>
      </c>
      <c r="Q13" s="89" t="s">
        <v>324</v>
      </c>
      <c r="R13" s="257">
        <v>45323</v>
      </c>
      <c r="S13" s="89" t="s">
        <v>316</v>
      </c>
      <c r="T13" s="258" t="s">
        <v>417</v>
      </c>
      <c r="U13" s="89" t="s">
        <v>302</v>
      </c>
    </row>
    <row r="14" spans="1:21" s="143" customFormat="1" x14ac:dyDescent="0.3">
      <c r="A14" s="238">
        <v>12</v>
      </c>
      <c r="B14" s="239" t="s">
        <v>235</v>
      </c>
      <c r="C14" s="240" t="s">
        <v>184</v>
      </c>
      <c r="D14" s="84" t="s">
        <v>236</v>
      </c>
      <c r="E14" s="84" t="s">
        <v>109</v>
      </c>
      <c r="F14" s="241">
        <v>41192</v>
      </c>
      <c r="G14" s="242" t="s">
        <v>184</v>
      </c>
      <c r="H14" s="86">
        <v>5</v>
      </c>
      <c r="I14" s="255">
        <v>45318</v>
      </c>
      <c r="J14" s="89" t="s">
        <v>160</v>
      </c>
      <c r="K14" s="256">
        <f t="shared" si="2"/>
        <v>0</v>
      </c>
      <c r="L14" s="158"/>
      <c r="M14" s="256"/>
      <c r="N14" s="243">
        <f t="shared" si="0"/>
        <v>45618</v>
      </c>
      <c r="O14" s="89">
        <f t="shared" si="1"/>
        <v>280</v>
      </c>
      <c r="P14" s="143" t="s">
        <v>444</v>
      </c>
      <c r="Q14" s="89" t="s">
        <v>325</v>
      </c>
      <c r="R14" s="257">
        <v>45318</v>
      </c>
      <c r="S14" s="89" t="s">
        <v>316</v>
      </c>
      <c r="T14" s="258" t="s">
        <v>417</v>
      </c>
      <c r="U14" s="89" t="s">
        <v>302</v>
      </c>
    </row>
    <row r="15" spans="1:21" s="143" customFormat="1" x14ac:dyDescent="0.3">
      <c r="A15" s="238">
        <v>13</v>
      </c>
      <c r="B15" s="239" t="s">
        <v>233</v>
      </c>
      <c r="C15" s="246" t="s">
        <v>184</v>
      </c>
      <c r="D15" s="100" t="s">
        <v>234</v>
      </c>
      <c r="E15" s="84" t="s">
        <v>108</v>
      </c>
      <c r="F15" s="241">
        <v>41395</v>
      </c>
      <c r="G15" s="242" t="s">
        <v>184</v>
      </c>
      <c r="H15" s="86">
        <v>6</v>
      </c>
      <c r="I15" s="255">
        <v>45332</v>
      </c>
      <c r="J15" s="89" t="s">
        <v>160</v>
      </c>
      <c r="K15" s="256">
        <f t="shared" si="2"/>
        <v>0</v>
      </c>
      <c r="L15" s="158"/>
      <c r="M15" s="256"/>
      <c r="N15" s="243">
        <f t="shared" si="0"/>
        <v>45632</v>
      </c>
      <c r="O15" s="89">
        <f t="shared" si="1"/>
        <v>280</v>
      </c>
      <c r="P15" s="143" t="s">
        <v>445</v>
      </c>
      <c r="Q15" s="89" t="s">
        <v>325</v>
      </c>
      <c r="R15" s="89">
        <v>45332</v>
      </c>
      <c r="S15" s="89" t="s">
        <v>330</v>
      </c>
      <c r="T15" s="258" t="s">
        <v>417</v>
      </c>
      <c r="U15" s="89" t="s">
        <v>302</v>
      </c>
    </row>
    <row r="16" spans="1:21" s="143" customFormat="1" x14ac:dyDescent="0.3">
      <c r="A16" s="238">
        <v>14</v>
      </c>
      <c r="B16" s="239" t="s">
        <v>21</v>
      </c>
      <c r="C16" s="240" t="s">
        <v>187</v>
      </c>
      <c r="D16" s="84" t="s">
        <v>22</v>
      </c>
      <c r="E16" s="84" t="s">
        <v>109</v>
      </c>
      <c r="F16" s="241">
        <v>41477</v>
      </c>
      <c r="G16" s="242" t="s">
        <v>184</v>
      </c>
      <c r="H16" s="86">
        <v>5</v>
      </c>
      <c r="I16" s="255">
        <v>45335</v>
      </c>
      <c r="J16" s="89" t="s">
        <v>160</v>
      </c>
      <c r="K16" s="256">
        <f t="shared" si="2"/>
        <v>0</v>
      </c>
      <c r="L16" s="158"/>
      <c r="M16" s="256"/>
      <c r="N16" s="243">
        <f t="shared" si="0"/>
        <v>45635</v>
      </c>
      <c r="O16" s="89">
        <f t="shared" si="1"/>
        <v>280</v>
      </c>
      <c r="P16" s="143" t="s">
        <v>446</v>
      </c>
      <c r="Q16" s="89" t="s">
        <v>325</v>
      </c>
      <c r="R16" s="257">
        <v>45335</v>
      </c>
      <c r="S16" s="89" t="s">
        <v>330</v>
      </c>
      <c r="T16" s="258" t="s">
        <v>417</v>
      </c>
      <c r="U16" s="89" t="s">
        <v>302</v>
      </c>
    </row>
    <row r="17" spans="1:21" s="143" customFormat="1" x14ac:dyDescent="0.3">
      <c r="A17" s="238">
        <v>15</v>
      </c>
      <c r="B17" s="239" t="s">
        <v>224</v>
      </c>
      <c r="C17" s="240" t="s">
        <v>184</v>
      </c>
      <c r="D17" s="84" t="s">
        <v>225</v>
      </c>
      <c r="E17" s="84" t="s">
        <v>108</v>
      </c>
      <c r="F17" s="241">
        <v>40704</v>
      </c>
      <c r="G17" s="242" t="s">
        <v>184</v>
      </c>
      <c r="H17" s="86">
        <v>6</v>
      </c>
      <c r="I17" s="255">
        <v>45357</v>
      </c>
      <c r="J17" s="89" t="s">
        <v>160</v>
      </c>
      <c r="K17" s="256">
        <f t="shared" si="2"/>
        <v>0</v>
      </c>
      <c r="L17" s="158"/>
      <c r="M17" s="256"/>
      <c r="N17" s="243">
        <f t="shared" si="0"/>
        <v>45657</v>
      </c>
      <c r="O17" s="89">
        <f t="shared" si="1"/>
        <v>280</v>
      </c>
      <c r="P17" s="143" t="s">
        <v>447</v>
      </c>
      <c r="Q17" s="89" t="s">
        <v>324</v>
      </c>
      <c r="R17" s="257">
        <v>45357</v>
      </c>
      <c r="S17" s="89" t="s">
        <v>330</v>
      </c>
      <c r="T17" s="258" t="s">
        <v>431</v>
      </c>
      <c r="U17" s="89" t="s">
        <v>302</v>
      </c>
    </row>
    <row r="18" spans="1:21" s="143" customFormat="1" x14ac:dyDescent="0.3">
      <c r="A18" s="238">
        <v>16</v>
      </c>
      <c r="B18" s="239" t="s">
        <v>133</v>
      </c>
      <c r="C18" s="240" t="s">
        <v>187</v>
      </c>
      <c r="D18" s="84" t="s">
        <v>223</v>
      </c>
      <c r="E18" s="84" t="s">
        <v>109</v>
      </c>
      <c r="F18" s="241">
        <v>41319</v>
      </c>
      <c r="G18" s="242" t="s">
        <v>222</v>
      </c>
      <c r="H18" s="86">
        <v>3</v>
      </c>
      <c r="I18" s="255">
        <v>44901</v>
      </c>
      <c r="J18" s="89" t="s">
        <v>157</v>
      </c>
      <c r="K18" s="256">
        <f t="shared" si="2"/>
        <v>0</v>
      </c>
      <c r="L18" s="158">
        <v>1.5</v>
      </c>
      <c r="M18" s="256">
        <f>(315-((L18*30)+5))+$L$1</f>
        <v>265</v>
      </c>
      <c r="N18" s="243">
        <f t="shared" si="0"/>
        <v>45201</v>
      </c>
      <c r="O18" s="89">
        <f t="shared" si="1"/>
        <v>545</v>
      </c>
      <c r="P18" s="143" t="s">
        <v>448</v>
      </c>
      <c r="Q18" s="89" t="s">
        <v>315</v>
      </c>
      <c r="R18" s="257">
        <v>44901</v>
      </c>
      <c r="S18" s="89" t="s">
        <v>330</v>
      </c>
      <c r="T18" s="258" t="s">
        <v>417</v>
      </c>
      <c r="U18" s="89" t="s">
        <v>302</v>
      </c>
    </row>
    <row r="19" spans="1:21" s="143" customFormat="1" x14ac:dyDescent="0.3">
      <c r="A19" s="238">
        <v>17</v>
      </c>
      <c r="B19" s="239" t="s">
        <v>231</v>
      </c>
      <c r="C19" s="240" t="s">
        <v>215</v>
      </c>
      <c r="D19" s="84" t="s">
        <v>232</v>
      </c>
      <c r="E19" s="84" t="s">
        <v>109</v>
      </c>
      <c r="F19" s="241">
        <v>41428</v>
      </c>
      <c r="G19" s="242" t="s">
        <v>184</v>
      </c>
      <c r="H19" s="86">
        <v>6</v>
      </c>
      <c r="I19" s="255">
        <v>45324</v>
      </c>
      <c r="J19" s="89" t="s">
        <v>160</v>
      </c>
      <c r="K19" s="256">
        <f t="shared" si="2"/>
        <v>0</v>
      </c>
      <c r="L19" s="158"/>
      <c r="M19" s="256"/>
      <c r="N19" s="243">
        <f t="shared" si="0"/>
        <v>45624</v>
      </c>
      <c r="O19" s="89">
        <f t="shared" si="1"/>
        <v>280</v>
      </c>
      <c r="P19" s="143" t="s">
        <v>449</v>
      </c>
      <c r="Q19" s="89" t="s">
        <v>324</v>
      </c>
      <c r="R19" s="89">
        <v>45324</v>
      </c>
      <c r="S19" s="89" t="s">
        <v>330</v>
      </c>
      <c r="T19" s="258" t="s">
        <v>417</v>
      </c>
      <c r="U19" s="89" t="s">
        <v>307</v>
      </c>
    </row>
    <row r="20" spans="1:21" s="143" customFormat="1" x14ac:dyDescent="0.3">
      <c r="A20" s="238">
        <v>18</v>
      </c>
      <c r="B20" s="239" t="s">
        <v>229</v>
      </c>
      <c r="C20" s="240" t="s">
        <v>184</v>
      </c>
      <c r="D20" s="84" t="s">
        <v>230</v>
      </c>
      <c r="E20" s="84" t="s">
        <v>108</v>
      </c>
      <c r="F20" s="241">
        <v>40909</v>
      </c>
      <c r="G20" s="242" t="s">
        <v>184</v>
      </c>
      <c r="H20" s="86">
        <v>5</v>
      </c>
      <c r="I20" s="255">
        <v>45319</v>
      </c>
      <c r="J20" s="89" t="s">
        <v>160</v>
      </c>
      <c r="K20" s="256">
        <f t="shared" si="2"/>
        <v>0</v>
      </c>
      <c r="L20" s="158"/>
      <c r="M20" s="256"/>
      <c r="N20" s="243">
        <f t="shared" si="0"/>
        <v>45619</v>
      </c>
      <c r="O20" s="89">
        <f t="shared" si="1"/>
        <v>280</v>
      </c>
      <c r="P20" s="143" t="s">
        <v>450</v>
      </c>
      <c r="Q20" s="89" t="s">
        <v>324</v>
      </c>
      <c r="R20" s="257">
        <v>45319</v>
      </c>
      <c r="S20" s="89" t="s">
        <v>453</v>
      </c>
      <c r="T20" s="258" t="s">
        <v>417</v>
      </c>
      <c r="U20" s="89" t="s">
        <v>307</v>
      </c>
    </row>
    <row r="21" spans="1:21" s="143" customFormat="1" x14ac:dyDescent="0.3">
      <c r="A21" s="238">
        <v>19</v>
      </c>
      <c r="B21" s="239" t="s">
        <v>227</v>
      </c>
      <c r="C21" s="240" t="s">
        <v>215</v>
      </c>
      <c r="D21" s="84" t="s">
        <v>228</v>
      </c>
      <c r="E21" s="84" t="s">
        <v>108</v>
      </c>
      <c r="F21" s="241">
        <v>41826</v>
      </c>
      <c r="G21" s="242" t="s">
        <v>222</v>
      </c>
      <c r="H21" s="86">
        <v>3</v>
      </c>
      <c r="I21" s="255">
        <v>44915</v>
      </c>
      <c r="J21" s="89" t="s">
        <v>157</v>
      </c>
      <c r="K21" s="256">
        <f t="shared" si="2"/>
        <v>0</v>
      </c>
      <c r="L21" s="158">
        <v>6</v>
      </c>
      <c r="M21" s="256">
        <f>(315-((L21*30)+5))+$L$1</f>
        <v>130</v>
      </c>
      <c r="N21" s="243">
        <f t="shared" si="0"/>
        <v>45215</v>
      </c>
      <c r="O21" s="89">
        <f t="shared" si="1"/>
        <v>410</v>
      </c>
      <c r="P21" s="143" t="s">
        <v>451</v>
      </c>
      <c r="Q21" s="89" t="s">
        <v>315</v>
      </c>
      <c r="R21" s="257">
        <v>44915</v>
      </c>
      <c r="S21" s="89" t="s">
        <v>316</v>
      </c>
      <c r="T21" s="258" t="s">
        <v>417</v>
      </c>
      <c r="U21" s="89" t="s">
        <v>302</v>
      </c>
    </row>
    <row r="22" spans="1:21" s="143" customFormat="1" x14ac:dyDescent="0.3">
      <c r="A22" s="238">
        <v>20</v>
      </c>
      <c r="B22" s="239" t="s">
        <v>136</v>
      </c>
      <c r="C22" s="240" t="s">
        <v>187</v>
      </c>
      <c r="D22" s="84" t="s">
        <v>226</v>
      </c>
      <c r="E22" s="84" t="s">
        <v>109</v>
      </c>
      <c r="F22" s="241">
        <v>41431</v>
      </c>
      <c r="G22" s="242" t="s">
        <v>184</v>
      </c>
      <c r="H22" s="86">
        <v>3</v>
      </c>
      <c r="I22" s="255">
        <v>45232</v>
      </c>
      <c r="J22" s="89" t="s">
        <v>276</v>
      </c>
      <c r="K22" s="256">
        <f t="shared" si="2"/>
        <v>0</v>
      </c>
      <c r="L22" s="158"/>
      <c r="M22" s="256"/>
      <c r="N22" s="243">
        <f t="shared" si="0"/>
        <v>45532</v>
      </c>
      <c r="O22" s="89">
        <f t="shared" si="1"/>
        <v>280</v>
      </c>
      <c r="P22" s="143" t="s">
        <v>452</v>
      </c>
      <c r="Q22" s="89" t="s">
        <v>324</v>
      </c>
      <c r="R22" s="257">
        <v>45232</v>
      </c>
      <c r="S22" s="89" t="s">
        <v>316</v>
      </c>
      <c r="T22" s="258" t="s">
        <v>417</v>
      </c>
      <c r="U22" s="89" t="s">
        <v>302</v>
      </c>
    </row>
    <row r="23" spans="1:21" s="143" customFormat="1" x14ac:dyDescent="0.3">
      <c r="A23" s="238">
        <v>21</v>
      </c>
      <c r="B23" s="239" t="s">
        <v>220</v>
      </c>
      <c r="C23" s="240" t="s">
        <v>184</v>
      </c>
      <c r="D23" s="84" t="s">
        <v>221</v>
      </c>
      <c r="E23" s="84" t="s">
        <v>108</v>
      </c>
      <c r="F23" s="241">
        <v>43128</v>
      </c>
      <c r="G23" s="242" t="s">
        <v>184</v>
      </c>
      <c r="H23" s="86">
        <v>2</v>
      </c>
      <c r="I23" s="255">
        <v>45303</v>
      </c>
      <c r="J23" s="89" t="s">
        <v>160</v>
      </c>
      <c r="K23" s="256">
        <f t="shared" si="2"/>
        <v>0</v>
      </c>
      <c r="L23" s="158"/>
      <c r="M23" s="256"/>
      <c r="N23" s="243">
        <f t="shared" si="0"/>
        <v>45603</v>
      </c>
      <c r="O23" s="89">
        <f t="shared" si="1"/>
        <v>280</v>
      </c>
      <c r="P23" s="143" t="s">
        <v>454</v>
      </c>
      <c r="Q23" s="89" t="s">
        <v>324</v>
      </c>
      <c r="R23" s="89">
        <v>45303</v>
      </c>
      <c r="S23" s="89" t="s">
        <v>316</v>
      </c>
      <c r="T23" s="258" t="s">
        <v>417</v>
      </c>
      <c r="U23" s="89" t="s">
        <v>307</v>
      </c>
    </row>
    <row r="24" spans="1:21" s="143" customFormat="1" x14ac:dyDescent="0.3">
      <c r="A24" s="238">
        <v>22</v>
      </c>
      <c r="B24" s="100" t="s">
        <v>218</v>
      </c>
      <c r="C24" s="245" t="s">
        <v>184</v>
      </c>
      <c r="D24" s="84" t="s">
        <v>219</v>
      </c>
      <c r="E24" s="84" t="s">
        <v>108</v>
      </c>
      <c r="F24" s="241">
        <v>42751</v>
      </c>
      <c r="G24" s="242" t="s">
        <v>184</v>
      </c>
      <c r="H24" s="86">
        <v>3</v>
      </c>
      <c r="I24" s="255">
        <v>45245</v>
      </c>
      <c r="J24" s="89" t="s">
        <v>160</v>
      </c>
      <c r="K24" s="256">
        <f t="shared" si="2"/>
        <v>0</v>
      </c>
      <c r="L24" s="158"/>
      <c r="M24" s="257">
        <v>45545</v>
      </c>
      <c r="N24" s="243">
        <f t="shared" si="0"/>
        <v>45545</v>
      </c>
      <c r="O24" s="89">
        <f t="shared" si="1"/>
        <v>45825</v>
      </c>
      <c r="P24" s="143" t="s">
        <v>455</v>
      </c>
      <c r="Q24" s="89" t="s">
        <v>324</v>
      </c>
      <c r="R24" s="257">
        <v>45245</v>
      </c>
      <c r="S24" s="89" t="s">
        <v>330</v>
      </c>
      <c r="T24" s="258" t="s">
        <v>256</v>
      </c>
      <c r="U24" s="89" t="s">
        <v>307</v>
      </c>
    </row>
    <row r="25" spans="1:21" s="143" customFormat="1" x14ac:dyDescent="0.3">
      <c r="A25" s="238">
        <v>23</v>
      </c>
      <c r="B25" s="239" t="s">
        <v>217</v>
      </c>
      <c r="C25" s="240" t="s">
        <v>187</v>
      </c>
      <c r="D25" s="84" t="s">
        <v>213</v>
      </c>
      <c r="E25" s="84" t="s">
        <v>109</v>
      </c>
      <c r="F25" s="241">
        <v>42020</v>
      </c>
      <c r="G25" s="242" t="s">
        <v>222</v>
      </c>
      <c r="H25" s="86">
        <v>2</v>
      </c>
      <c r="I25" s="255">
        <v>44953</v>
      </c>
      <c r="J25" s="89" t="s">
        <v>157</v>
      </c>
      <c r="K25" s="256">
        <f t="shared" si="2"/>
        <v>0</v>
      </c>
      <c r="L25" s="158">
        <v>6</v>
      </c>
      <c r="M25" s="257">
        <v>45253</v>
      </c>
      <c r="N25" s="243">
        <f t="shared" si="0"/>
        <v>45253</v>
      </c>
      <c r="O25" s="89">
        <f t="shared" si="1"/>
        <v>45533</v>
      </c>
      <c r="P25" s="143" t="s">
        <v>456</v>
      </c>
      <c r="Q25" s="89" t="s">
        <v>315</v>
      </c>
      <c r="R25" s="257">
        <v>44953</v>
      </c>
      <c r="S25" s="89" t="s">
        <v>330</v>
      </c>
      <c r="T25" s="258" t="s">
        <v>417</v>
      </c>
      <c r="U25" s="89" t="s">
        <v>302</v>
      </c>
    </row>
    <row r="26" spans="1:21" s="143" customFormat="1" x14ac:dyDescent="0.3">
      <c r="A26" s="238">
        <v>24</v>
      </c>
      <c r="B26" s="239" t="s">
        <v>211</v>
      </c>
      <c r="C26" s="240" t="s">
        <v>187</v>
      </c>
      <c r="D26" s="84" t="s">
        <v>212</v>
      </c>
      <c r="E26" s="84" t="s">
        <v>109</v>
      </c>
      <c r="F26" s="241">
        <v>41719</v>
      </c>
      <c r="G26" s="242" t="s">
        <v>222</v>
      </c>
      <c r="H26" s="86">
        <v>1</v>
      </c>
      <c r="I26" s="255">
        <v>44970</v>
      </c>
      <c r="J26" s="89" t="s">
        <v>157</v>
      </c>
      <c r="K26" s="256">
        <f t="shared" si="2"/>
        <v>0</v>
      </c>
      <c r="L26" s="158">
        <v>1.5</v>
      </c>
      <c r="M26" s="257">
        <v>45270</v>
      </c>
      <c r="N26" s="243">
        <f t="shared" si="0"/>
        <v>45270</v>
      </c>
      <c r="O26" s="89">
        <f t="shared" si="1"/>
        <v>45550</v>
      </c>
      <c r="P26" s="143" t="s">
        <v>457</v>
      </c>
      <c r="Q26" s="89" t="s">
        <v>315</v>
      </c>
      <c r="R26" s="257">
        <v>44970</v>
      </c>
      <c r="S26" s="89" t="s">
        <v>342</v>
      </c>
      <c r="T26" s="258" t="s">
        <v>417</v>
      </c>
      <c r="U26" s="89" t="s">
        <v>302</v>
      </c>
    </row>
    <row r="27" spans="1:21" s="143" customFormat="1" x14ac:dyDescent="0.3">
      <c r="A27" s="238">
        <v>25</v>
      </c>
      <c r="B27" s="239" t="s">
        <v>209</v>
      </c>
      <c r="C27" s="240" t="s">
        <v>184</v>
      </c>
      <c r="D27" s="84" t="s">
        <v>210</v>
      </c>
      <c r="E27" s="84" t="s">
        <v>109</v>
      </c>
      <c r="F27" s="241">
        <v>40909</v>
      </c>
      <c r="G27" s="242" t="s">
        <v>222</v>
      </c>
      <c r="H27" s="86">
        <v>4</v>
      </c>
      <c r="I27" s="255">
        <v>44980</v>
      </c>
      <c r="J27" s="89" t="s">
        <v>157</v>
      </c>
      <c r="K27" s="256">
        <f t="shared" si="2"/>
        <v>0</v>
      </c>
      <c r="L27" s="158">
        <v>1.5</v>
      </c>
      <c r="M27" s="257">
        <v>45280</v>
      </c>
      <c r="N27" s="243">
        <f t="shared" si="0"/>
        <v>45280</v>
      </c>
      <c r="O27" s="89">
        <f>I27+280</f>
        <v>45260</v>
      </c>
      <c r="P27" s="143" t="s">
        <v>458</v>
      </c>
      <c r="Q27" s="89" t="s">
        <v>315</v>
      </c>
      <c r="R27" s="257">
        <v>44980</v>
      </c>
      <c r="S27" s="89" t="s">
        <v>342</v>
      </c>
      <c r="T27" s="258" t="s">
        <v>431</v>
      </c>
      <c r="U27" s="89" t="s">
        <v>302</v>
      </c>
    </row>
    <row r="28" spans="1:21" s="143" customFormat="1" x14ac:dyDescent="0.3">
      <c r="A28" s="238">
        <v>26</v>
      </c>
      <c r="B28" s="239" t="s">
        <v>208</v>
      </c>
      <c r="C28" s="240" t="s">
        <v>184</v>
      </c>
      <c r="D28" s="84" t="s">
        <v>34</v>
      </c>
      <c r="E28" s="84" t="s">
        <v>109</v>
      </c>
      <c r="F28" s="241">
        <v>42912</v>
      </c>
      <c r="G28" s="242" t="s">
        <v>222</v>
      </c>
      <c r="H28" s="86">
        <v>1</v>
      </c>
      <c r="I28" s="255">
        <v>44983</v>
      </c>
      <c r="J28" s="89" t="s">
        <v>160</v>
      </c>
      <c r="K28" s="256">
        <f t="shared" si="2"/>
        <v>0</v>
      </c>
      <c r="L28" s="158"/>
      <c r="M28" s="257">
        <v>45283</v>
      </c>
      <c r="N28" s="243">
        <f t="shared" si="0"/>
        <v>45283</v>
      </c>
      <c r="O28" s="89">
        <f t="shared" ref="O28:O48" si="3">I28+280</f>
        <v>45263</v>
      </c>
      <c r="P28" s="143" t="s">
        <v>459</v>
      </c>
      <c r="Q28" s="89" t="s">
        <v>324</v>
      </c>
      <c r="R28" s="257">
        <v>44983</v>
      </c>
      <c r="S28" s="89" t="s">
        <v>342</v>
      </c>
      <c r="T28" s="258" t="s">
        <v>417</v>
      </c>
      <c r="U28" s="89" t="s">
        <v>307</v>
      </c>
    </row>
    <row r="29" spans="1:21" s="143" customFormat="1" x14ac:dyDescent="0.3">
      <c r="A29" s="238">
        <v>27</v>
      </c>
      <c r="B29" s="239" t="s">
        <v>214</v>
      </c>
      <c r="C29" s="240" t="s">
        <v>215</v>
      </c>
      <c r="D29" s="84" t="s">
        <v>216</v>
      </c>
      <c r="E29" s="84" t="s">
        <v>109</v>
      </c>
      <c r="F29" s="241">
        <v>41459</v>
      </c>
      <c r="G29" s="242" t="s">
        <v>222</v>
      </c>
      <c r="H29" s="86">
        <v>5</v>
      </c>
      <c r="I29" s="255">
        <v>44983</v>
      </c>
      <c r="J29" s="89" t="s">
        <v>157</v>
      </c>
      <c r="K29" s="256">
        <f t="shared" si="2"/>
        <v>0</v>
      </c>
      <c r="L29" s="158">
        <v>7.5</v>
      </c>
      <c r="M29" s="257">
        <v>45283</v>
      </c>
      <c r="N29" s="243">
        <f t="shared" si="0"/>
        <v>45283</v>
      </c>
      <c r="O29" s="89">
        <f t="shared" si="3"/>
        <v>45263</v>
      </c>
      <c r="P29" s="143" t="s">
        <v>459</v>
      </c>
      <c r="Q29" s="89" t="s">
        <v>315</v>
      </c>
      <c r="R29" s="257">
        <v>44983</v>
      </c>
      <c r="S29" s="89" t="s">
        <v>330</v>
      </c>
      <c r="T29" s="258" t="s">
        <v>417</v>
      </c>
      <c r="U29" s="89" t="s">
        <v>302</v>
      </c>
    </row>
    <row r="30" spans="1:21" s="143" customFormat="1" x14ac:dyDescent="0.3">
      <c r="A30" s="238">
        <v>28</v>
      </c>
      <c r="B30" s="239" t="s">
        <v>206</v>
      </c>
      <c r="C30" s="240" t="s">
        <v>184</v>
      </c>
      <c r="D30" s="84" t="s">
        <v>207</v>
      </c>
      <c r="E30" s="84" t="s">
        <v>108</v>
      </c>
      <c r="F30" s="241">
        <v>40544</v>
      </c>
      <c r="G30" s="242" t="s">
        <v>222</v>
      </c>
      <c r="H30" s="86">
        <v>5</v>
      </c>
      <c r="I30" s="255">
        <v>44984</v>
      </c>
      <c r="J30" s="89" t="s">
        <v>276</v>
      </c>
      <c r="K30" s="256">
        <f t="shared" si="2"/>
        <v>0</v>
      </c>
      <c r="L30" s="158"/>
      <c r="M30" s="256">
        <v>45284</v>
      </c>
      <c r="N30" s="243">
        <f t="shared" si="0"/>
        <v>45284</v>
      </c>
      <c r="O30" s="89">
        <f t="shared" si="3"/>
        <v>45264</v>
      </c>
      <c r="P30" s="143" t="s">
        <v>460</v>
      </c>
      <c r="Q30" s="89" t="s">
        <v>324</v>
      </c>
      <c r="R30" s="257">
        <v>44984</v>
      </c>
      <c r="S30" s="89" t="s">
        <v>316</v>
      </c>
      <c r="T30" s="258" t="s">
        <v>417</v>
      </c>
      <c r="U30" s="89" t="s">
        <v>302</v>
      </c>
    </row>
    <row r="31" spans="1:21" s="143" customFormat="1" x14ac:dyDescent="0.3">
      <c r="A31" s="238">
        <v>29</v>
      </c>
      <c r="B31" s="239" t="s">
        <v>204</v>
      </c>
      <c r="C31" s="240" t="s">
        <v>184</v>
      </c>
      <c r="D31" s="84" t="s">
        <v>194</v>
      </c>
      <c r="E31" s="84" t="s">
        <v>108</v>
      </c>
      <c r="F31" s="241">
        <v>43112</v>
      </c>
      <c r="G31" s="242" t="s">
        <v>184</v>
      </c>
      <c r="H31" s="86">
        <v>1</v>
      </c>
      <c r="I31" s="255">
        <v>44990</v>
      </c>
      <c r="J31" s="89" t="s">
        <v>160</v>
      </c>
      <c r="K31" s="256">
        <f t="shared" si="2"/>
        <v>0</v>
      </c>
      <c r="L31" s="158"/>
      <c r="M31" s="257">
        <v>45290</v>
      </c>
      <c r="N31" s="243">
        <f t="shared" si="0"/>
        <v>45290</v>
      </c>
      <c r="O31" s="89">
        <f t="shared" si="3"/>
        <v>45270</v>
      </c>
      <c r="P31" s="143" t="s">
        <v>461</v>
      </c>
      <c r="Q31" s="89" t="s">
        <v>324</v>
      </c>
      <c r="R31" s="257">
        <v>44990</v>
      </c>
      <c r="S31" s="89" t="s">
        <v>316</v>
      </c>
      <c r="T31" s="258" t="s">
        <v>417</v>
      </c>
      <c r="U31" s="89" t="s">
        <v>307</v>
      </c>
    </row>
    <row r="32" spans="1:21" s="143" customFormat="1" x14ac:dyDescent="0.3">
      <c r="A32" s="238">
        <v>30</v>
      </c>
      <c r="B32" s="239" t="s">
        <v>31</v>
      </c>
      <c r="C32" s="240" t="s">
        <v>187</v>
      </c>
      <c r="D32" s="84" t="s">
        <v>205</v>
      </c>
      <c r="E32" s="84" t="s">
        <v>109</v>
      </c>
      <c r="F32" s="241">
        <v>39094</v>
      </c>
      <c r="G32" s="242" t="s">
        <v>222</v>
      </c>
      <c r="H32" s="86">
        <v>5</v>
      </c>
      <c r="I32" s="255">
        <v>44990</v>
      </c>
      <c r="J32" s="89" t="s">
        <v>160</v>
      </c>
      <c r="K32" s="256">
        <f t="shared" si="2"/>
        <v>0</v>
      </c>
      <c r="L32" s="158"/>
      <c r="M32" s="257">
        <v>45290</v>
      </c>
      <c r="N32" s="243">
        <f t="shared" si="0"/>
        <v>45290</v>
      </c>
      <c r="O32" s="89">
        <f t="shared" si="3"/>
        <v>45270</v>
      </c>
      <c r="P32" s="143" t="s">
        <v>461</v>
      </c>
      <c r="Q32" s="89" t="s">
        <v>324</v>
      </c>
      <c r="R32" s="257">
        <v>44990</v>
      </c>
      <c r="S32" s="89" t="s">
        <v>316</v>
      </c>
      <c r="T32" s="258" t="s">
        <v>431</v>
      </c>
      <c r="U32" s="89" t="s">
        <v>307</v>
      </c>
    </row>
    <row r="33" spans="1:21" s="143" customFormat="1" x14ac:dyDescent="0.3">
      <c r="A33" s="238">
        <v>31</v>
      </c>
      <c r="B33" s="239" t="s">
        <v>202</v>
      </c>
      <c r="C33" s="240" t="s">
        <v>184</v>
      </c>
      <c r="D33" s="84" t="s">
        <v>203</v>
      </c>
      <c r="E33" s="84" t="s">
        <v>108</v>
      </c>
      <c r="F33" s="241">
        <v>42741</v>
      </c>
      <c r="G33" s="242" t="s">
        <v>222</v>
      </c>
      <c r="H33" s="86">
        <v>1</v>
      </c>
      <c r="I33" s="255">
        <v>44993</v>
      </c>
      <c r="J33" s="89" t="s">
        <v>157</v>
      </c>
      <c r="K33" s="256">
        <f t="shared" si="2"/>
        <v>0</v>
      </c>
      <c r="L33" s="158">
        <v>1.5</v>
      </c>
      <c r="M33" s="257">
        <v>45293</v>
      </c>
      <c r="N33" s="243">
        <f t="shared" si="0"/>
        <v>45293</v>
      </c>
      <c r="O33" s="89">
        <f t="shared" si="3"/>
        <v>45273</v>
      </c>
      <c r="P33" s="143" t="s">
        <v>462</v>
      </c>
      <c r="Q33" s="89" t="s">
        <v>315</v>
      </c>
      <c r="R33" s="257">
        <v>44993</v>
      </c>
      <c r="S33" s="89" t="s">
        <v>472</v>
      </c>
      <c r="T33" s="258" t="s">
        <v>417</v>
      </c>
      <c r="U33" s="89" t="s">
        <v>302</v>
      </c>
    </row>
    <row r="34" spans="1:21" s="143" customFormat="1" x14ac:dyDescent="0.3">
      <c r="A34" s="238">
        <v>32</v>
      </c>
      <c r="B34" s="239" t="s">
        <v>19</v>
      </c>
      <c r="C34" s="240" t="s">
        <v>187</v>
      </c>
      <c r="D34" s="84" t="s">
        <v>201</v>
      </c>
      <c r="E34" s="247" t="s">
        <v>109</v>
      </c>
      <c r="F34" s="241">
        <v>41010</v>
      </c>
      <c r="G34" s="242" t="s">
        <v>222</v>
      </c>
      <c r="H34" s="86">
        <v>5</v>
      </c>
      <c r="I34" s="255">
        <v>45000</v>
      </c>
      <c r="J34" s="89" t="s">
        <v>160</v>
      </c>
      <c r="K34" s="256">
        <f t="shared" si="2"/>
        <v>0</v>
      </c>
      <c r="L34" s="158"/>
      <c r="M34" s="257">
        <v>45300</v>
      </c>
      <c r="N34" s="243">
        <f t="shared" si="0"/>
        <v>45300</v>
      </c>
      <c r="O34" s="89">
        <f t="shared" si="3"/>
        <v>45280</v>
      </c>
      <c r="P34" s="143" t="s">
        <v>463</v>
      </c>
      <c r="Q34" s="89" t="s">
        <v>324</v>
      </c>
      <c r="R34" s="257">
        <v>45000</v>
      </c>
      <c r="S34" s="89" t="s">
        <v>453</v>
      </c>
      <c r="T34" s="258" t="s">
        <v>417</v>
      </c>
      <c r="U34" s="89" t="s">
        <v>307</v>
      </c>
    </row>
    <row r="35" spans="1:21" s="143" customFormat="1" x14ac:dyDescent="0.3">
      <c r="A35" s="238">
        <v>33</v>
      </c>
      <c r="B35" s="239" t="s">
        <v>199</v>
      </c>
      <c r="C35" s="240" t="s">
        <v>184</v>
      </c>
      <c r="D35" s="84" t="s">
        <v>200</v>
      </c>
      <c r="E35" s="84" t="s">
        <v>108</v>
      </c>
      <c r="F35" s="241">
        <v>43139</v>
      </c>
      <c r="G35" s="242" t="s">
        <v>222</v>
      </c>
      <c r="H35" s="86">
        <v>1</v>
      </c>
      <c r="I35" s="255">
        <v>45001</v>
      </c>
      <c r="J35" s="89" t="s">
        <v>276</v>
      </c>
      <c r="K35" s="256">
        <f t="shared" si="2"/>
        <v>0</v>
      </c>
      <c r="L35" s="158"/>
      <c r="M35" s="257">
        <v>45301</v>
      </c>
      <c r="N35" s="243">
        <f t="shared" si="0"/>
        <v>45301</v>
      </c>
      <c r="O35" s="89">
        <f t="shared" si="3"/>
        <v>45281</v>
      </c>
      <c r="P35" s="143" t="s">
        <v>464</v>
      </c>
      <c r="Q35" s="89" t="s">
        <v>324</v>
      </c>
      <c r="R35" s="257">
        <v>45001</v>
      </c>
      <c r="S35" s="89" t="s">
        <v>316</v>
      </c>
      <c r="T35" s="258" t="s">
        <v>417</v>
      </c>
      <c r="U35" s="89" t="s">
        <v>302</v>
      </c>
    </row>
    <row r="36" spans="1:21" s="143" customFormat="1" x14ac:dyDescent="0.3">
      <c r="A36" s="238">
        <v>34</v>
      </c>
      <c r="B36" s="239" t="s">
        <v>196</v>
      </c>
      <c r="C36" s="240" t="s">
        <v>184</v>
      </c>
      <c r="D36" s="84" t="s">
        <v>197</v>
      </c>
      <c r="E36" s="84" t="s">
        <v>108</v>
      </c>
      <c r="F36" s="241">
        <v>42748</v>
      </c>
      <c r="G36" s="242" t="s">
        <v>222</v>
      </c>
      <c r="H36" s="86">
        <v>1</v>
      </c>
      <c r="I36" s="255">
        <v>45003</v>
      </c>
      <c r="J36" s="89" t="s">
        <v>157</v>
      </c>
      <c r="K36" s="256">
        <f t="shared" si="2"/>
        <v>0</v>
      </c>
      <c r="L36" s="158">
        <v>1</v>
      </c>
      <c r="M36" s="257">
        <v>45303</v>
      </c>
      <c r="N36" s="243">
        <f t="shared" si="0"/>
        <v>45303</v>
      </c>
      <c r="O36" s="89">
        <f t="shared" si="3"/>
        <v>45283</v>
      </c>
      <c r="P36" s="143" t="s">
        <v>465</v>
      </c>
      <c r="Q36" s="89" t="s">
        <v>315</v>
      </c>
      <c r="R36" s="89">
        <v>45003</v>
      </c>
      <c r="S36" s="89" t="s">
        <v>316</v>
      </c>
      <c r="T36" s="258" t="s">
        <v>417</v>
      </c>
      <c r="U36" s="89" t="s">
        <v>302</v>
      </c>
    </row>
    <row r="37" spans="1:21" s="143" customFormat="1" x14ac:dyDescent="0.3">
      <c r="A37" s="238">
        <v>35</v>
      </c>
      <c r="B37" s="239" t="s">
        <v>193</v>
      </c>
      <c r="C37" s="240" t="s">
        <v>184</v>
      </c>
      <c r="D37" s="84" t="s">
        <v>195</v>
      </c>
      <c r="E37" s="84" t="s">
        <v>108</v>
      </c>
      <c r="F37" s="241">
        <v>43099</v>
      </c>
      <c r="G37" s="242" t="s">
        <v>222</v>
      </c>
      <c r="H37" s="86">
        <v>1</v>
      </c>
      <c r="I37" s="255">
        <v>45009</v>
      </c>
      <c r="J37" s="89" t="s">
        <v>160</v>
      </c>
      <c r="K37" s="256">
        <f t="shared" si="2"/>
        <v>0</v>
      </c>
      <c r="L37" s="158"/>
      <c r="M37" s="257">
        <v>45309</v>
      </c>
      <c r="N37" s="243">
        <f t="shared" si="0"/>
        <v>45309</v>
      </c>
      <c r="O37" s="89">
        <f t="shared" si="3"/>
        <v>45289</v>
      </c>
      <c r="P37" s="89" t="s">
        <v>466</v>
      </c>
      <c r="Q37" s="89" t="s">
        <v>324</v>
      </c>
      <c r="R37" s="89">
        <v>45009</v>
      </c>
      <c r="S37" s="89" t="s">
        <v>342</v>
      </c>
      <c r="T37" s="258" t="s">
        <v>417</v>
      </c>
      <c r="U37" s="89" t="s">
        <v>307</v>
      </c>
    </row>
    <row r="38" spans="1:21" s="143" customFormat="1" x14ac:dyDescent="0.3">
      <c r="A38" s="238">
        <v>36</v>
      </c>
      <c r="B38" s="239" t="s">
        <v>191</v>
      </c>
      <c r="C38" s="240" t="s">
        <v>184</v>
      </c>
      <c r="D38" s="84" t="s">
        <v>192</v>
      </c>
      <c r="E38" s="84" t="s">
        <v>108</v>
      </c>
      <c r="F38" s="241">
        <v>43140</v>
      </c>
      <c r="G38" s="242" t="s">
        <v>222</v>
      </c>
      <c r="H38" s="86">
        <v>1</v>
      </c>
      <c r="I38" s="255">
        <v>45012</v>
      </c>
      <c r="J38" s="89" t="s">
        <v>276</v>
      </c>
      <c r="K38" s="256">
        <f t="shared" si="2"/>
        <v>0</v>
      </c>
      <c r="L38" s="158"/>
      <c r="M38" s="257">
        <v>45312</v>
      </c>
      <c r="N38" s="243">
        <f t="shared" si="0"/>
        <v>45312</v>
      </c>
      <c r="O38" s="89">
        <f t="shared" si="3"/>
        <v>45292</v>
      </c>
      <c r="P38" s="143" t="s">
        <v>467</v>
      </c>
      <c r="Q38" s="89" t="s">
        <v>324</v>
      </c>
      <c r="R38" s="257">
        <v>45012</v>
      </c>
      <c r="S38" s="89" t="s">
        <v>330</v>
      </c>
      <c r="T38" s="258" t="s">
        <v>256</v>
      </c>
      <c r="U38" s="89" t="s">
        <v>302</v>
      </c>
    </row>
    <row r="39" spans="1:21" s="143" customFormat="1" x14ac:dyDescent="0.3">
      <c r="A39" s="238">
        <v>37</v>
      </c>
      <c r="B39" s="239" t="s">
        <v>188</v>
      </c>
      <c r="C39" s="240" t="s">
        <v>184</v>
      </c>
      <c r="D39" s="84" t="s">
        <v>190</v>
      </c>
      <c r="E39" s="84" t="s">
        <v>108</v>
      </c>
      <c r="F39" s="241">
        <v>43141</v>
      </c>
      <c r="G39" s="242" t="s">
        <v>222</v>
      </c>
      <c r="H39" s="86">
        <v>1</v>
      </c>
      <c r="I39" s="255">
        <v>45013</v>
      </c>
      <c r="J39" s="89" t="s">
        <v>160</v>
      </c>
      <c r="K39" s="256">
        <f t="shared" si="2"/>
        <v>0</v>
      </c>
      <c r="L39" s="158"/>
      <c r="M39" s="257">
        <v>45313</v>
      </c>
      <c r="N39" s="243">
        <f t="shared" si="0"/>
        <v>45313</v>
      </c>
      <c r="O39" s="89">
        <f t="shared" si="3"/>
        <v>45293</v>
      </c>
      <c r="P39" s="143" t="s">
        <v>468</v>
      </c>
      <c r="Q39" s="89" t="s">
        <v>324</v>
      </c>
      <c r="R39" s="257">
        <v>45013</v>
      </c>
      <c r="S39" s="89" t="s">
        <v>342</v>
      </c>
      <c r="T39" s="258" t="s">
        <v>417</v>
      </c>
      <c r="U39" s="89" t="s">
        <v>307</v>
      </c>
    </row>
    <row r="40" spans="1:21" s="143" customFormat="1" x14ac:dyDescent="0.3">
      <c r="A40" s="238">
        <v>38</v>
      </c>
      <c r="B40" s="239" t="s">
        <v>180</v>
      </c>
      <c r="C40" s="240" t="s">
        <v>187</v>
      </c>
      <c r="D40" s="84" t="s">
        <v>161</v>
      </c>
      <c r="E40" s="84" t="s">
        <v>109</v>
      </c>
      <c r="F40" s="241">
        <v>41761</v>
      </c>
      <c r="G40" s="242" t="s">
        <v>222</v>
      </c>
      <c r="H40" s="86">
        <v>3</v>
      </c>
      <c r="I40" s="255">
        <v>45023</v>
      </c>
      <c r="J40" s="89" t="s">
        <v>157</v>
      </c>
      <c r="K40" s="256">
        <f t="shared" si="2"/>
        <v>0</v>
      </c>
      <c r="L40" s="158">
        <v>1.5</v>
      </c>
      <c r="M40" s="256">
        <v>45323</v>
      </c>
      <c r="N40" s="243">
        <f t="shared" si="0"/>
        <v>45323</v>
      </c>
      <c r="O40" s="89">
        <f t="shared" si="3"/>
        <v>45303</v>
      </c>
      <c r="P40" s="143" t="s">
        <v>469</v>
      </c>
      <c r="Q40" s="89" t="s">
        <v>315</v>
      </c>
      <c r="R40" s="257">
        <v>45023</v>
      </c>
      <c r="S40" s="89" t="s">
        <v>342</v>
      </c>
      <c r="T40" s="258" t="s">
        <v>417</v>
      </c>
      <c r="U40" s="89" t="s">
        <v>302</v>
      </c>
    </row>
    <row r="41" spans="1:21" s="143" customFormat="1" x14ac:dyDescent="0.3">
      <c r="A41" s="238">
        <v>39</v>
      </c>
      <c r="B41" s="239" t="s">
        <v>29</v>
      </c>
      <c r="C41" s="240" t="s">
        <v>187</v>
      </c>
      <c r="D41" s="84" t="s">
        <v>30</v>
      </c>
      <c r="E41" s="84" t="s">
        <v>109</v>
      </c>
      <c r="F41" s="241">
        <v>41255</v>
      </c>
      <c r="G41" s="242" t="s">
        <v>222</v>
      </c>
      <c r="H41" s="86">
        <v>4</v>
      </c>
      <c r="I41" s="255">
        <v>45034</v>
      </c>
      <c r="J41" s="89" t="s">
        <v>157</v>
      </c>
      <c r="K41" s="256">
        <f t="shared" si="2"/>
        <v>0</v>
      </c>
      <c r="L41" s="158">
        <v>1.5</v>
      </c>
      <c r="M41" s="256">
        <v>45334</v>
      </c>
      <c r="N41" s="243">
        <f t="shared" si="0"/>
        <v>45334</v>
      </c>
      <c r="O41" s="89">
        <f t="shared" si="3"/>
        <v>45314</v>
      </c>
      <c r="P41" s="143" t="s">
        <v>470</v>
      </c>
      <c r="Q41" s="89" t="s">
        <v>315</v>
      </c>
      <c r="R41" s="257">
        <v>45034</v>
      </c>
      <c r="S41" s="89" t="s">
        <v>330</v>
      </c>
      <c r="T41" s="258" t="s">
        <v>417</v>
      </c>
      <c r="U41" s="89" t="s">
        <v>302</v>
      </c>
    </row>
    <row r="42" spans="1:21" s="143" customFormat="1" x14ac:dyDescent="0.3">
      <c r="A42" s="238">
        <v>40</v>
      </c>
      <c r="B42" s="239" t="s">
        <v>185</v>
      </c>
      <c r="C42" s="240" t="s">
        <v>187</v>
      </c>
      <c r="D42" s="84" t="s">
        <v>250</v>
      </c>
      <c r="E42" s="84" t="s">
        <v>109</v>
      </c>
      <c r="F42" s="241">
        <v>43166</v>
      </c>
      <c r="G42" s="242" t="s">
        <v>222</v>
      </c>
      <c r="H42" s="86">
        <v>1</v>
      </c>
      <c r="I42" s="255">
        <v>45034</v>
      </c>
      <c r="J42" s="89" t="s">
        <v>160</v>
      </c>
      <c r="K42" s="256">
        <f t="shared" si="2"/>
        <v>0</v>
      </c>
      <c r="L42" s="158"/>
      <c r="M42" s="257">
        <v>45334</v>
      </c>
      <c r="N42" s="243">
        <f t="shared" si="0"/>
        <v>45334</v>
      </c>
      <c r="O42" s="89">
        <f t="shared" si="3"/>
        <v>45314</v>
      </c>
      <c r="P42" s="143" t="s">
        <v>471</v>
      </c>
      <c r="Q42" s="89" t="s">
        <v>324</v>
      </c>
      <c r="R42" s="257">
        <v>45034</v>
      </c>
      <c r="S42" s="89" t="s">
        <v>330</v>
      </c>
      <c r="T42" s="258" t="s">
        <v>473</v>
      </c>
      <c r="U42" s="89" t="s">
        <v>307</v>
      </c>
    </row>
    <row r="43" spans="1:21" s="143" customFormat="1" x14ac:dyDescent="0.3">
      <c r="A43" s="238">
        <v>41</v>
      </c>
      <c r="B43" s="239" t="s">
        <v>83</v>
      </c>
      <c r="C43" s="240" t="s">
        <v>187</v>
      </c>
      <c r="D43" s="84" t="s">
        <v>84</v>
      </c>
      <c r="E43" s="84" t="s">
        <v>108</v>
      </c>
      <c r="F43" s="241">
        <v>41246</v>
      </c>
      <c r="G43" s="242" t="s">
        <v>222</v>
      </c>
      <c r="H43" s="86">
        <v>5</v>
      </c>
      <c r="I43" s="255">
        <v>45052</v>
      </c>
      <c r="J43" s="89" t="s">
        <v>160</v>
      </c>
      <c r="K43" s="256">
        <f t="shared" si="2"/>
        <v>0</v>
      </c>
      <c r="L43" s="158"/>
      <c r="M43" s="257">
        <v>45352</v>
      </c>
      <c r="N43" s="243">
        <f t="shared" si="0"/>
        <v>45352</v>
      </c>
      <c r="O43" s="89">
        <f t="shared" si="3"/>
        <v>45332</v>
      </c>
      <c r="P43" s="143" t="s">
        <v>474</v>
      </c>
      <c r="Q43" s="89" t="s">
        <v>324</v>
      </c>
      <c r="R43" s="257">
        <v>45052</v>
      </c>
      <c r="S43" s="89" t="s">
        <v>316</v>
      </c>
      <c r="T43" s="258" t="s">
        <v>417</v>
      </c>
      <c r="U43" s="89" t="s">
        <v>307</v>
      </c>
    </row>
    <row r="44" spans="1:21" s="143" customFormat="1" x14ac:dyDescent="0.3">
      <c r="A44" s="238">
        <v>42</v>
      </c>
      <c r="B44" s="239" t="s">
        <v>248</v>
      </c>
      <c r="C44" s="240" t="s">
        <v>184</v>
      </c>
      <c r="D44" s="84" t="s">
        <v>249</v>
      </c>
      <c r="E44" s="84" t="s">
        <v>108</v>
      </c>
      <c r="F44" s="241">
        <v>42739</v>
      </c>
      <c r="G44" s="242" t="s">
        <v>222</v>
      </c>
      <c r="H44" s="86">
        <v>1</v>
      </c>
      <c r="I44" s="255">
        <v>45066</v>
      </c>
      <c r="J44" s="89" t="s">
        <v>160</v>
      </c>
      <c r="K44" s="256">
        <f t="shared" si="2"/>
        <v>0</v>
      </c>
      <c r="L44" s="158"/>
      <c r="M44" s="257">
        <v>45366</v>
      </c>
      <c r="N44" s="243">
        <f t="shared" si="0"/>
        <v>45366</v>
      </c>
      <c r="O44" s="89">
        <f t="shared" si="3"/>
        <v>45346</v>
      </c>
      <c r="P44" s="143" t="s">
        <v>475</v>
      </c>
      <c r="Q44" s="89" t="s">
        <v>324</v>
      </c>
      <c r="R44" s="257">
        <v>45066</v>
      </c>
      <c r="S44" s="89" t="s">
        <v>342</v>
      </c>
      <c r="T44" s="258" t="s">
        <v>417</v>
      </c>
      <c r="U44" s="89" t="s">
        <v>307</v>
      </c>
    </row>
    <row r="45" spans="1:21" s="143" customFormat="1" x14ac:dyDescent="0.3">
      <c r="A45" s="238">
        <v>43</v>
      </c>
      <c r="B45" s="239" t="s">
        <v>263</v>
      </c>
      <c r="C45" s="240" t="s">
        <v>184</v>
      </c>
      <c r="D45" s="84" t="s">
        <v>264</v>
      </c>
      <c r="E45" s="84" t="s">
        <v>109</v>
      </c>
      <c r="F45" s="241">
        <v>43118</v>
      </c>
      <c r="G45" s="242" t="s">
        <v>222</v>
      </c>
      <c r="H45" s="86">
        <v>2</v>
      </c>
      <c r="I45" s="255">
        <v>45069</v>
      </c>
      <c r="J45" s="89" t="s">
        <v>157</v>
      </c>
      <c r="K45" s="256">
        <f t="shared" si="2"/>
        <v>0</v>
      </c>
      <c r="L45" s="158">
        <v>1</v>
      </c>
      <c r="M45" s="257">
        <v>45369</v>
      </c>
      <c r="N45" s="243">
        <f t="shared" si="0"/>
        <v>45369</v>
      </c>
      <c r="O45" s="89">
        <f t="shared" si="3"/>
        <v>45349</v>
      </c>
      <c r="P45" s="89" t="s">
        <v>476</v>
      </c>
      <c r="Q45" s="89" t="s">
        <v>315</v>
      </c>
      <c r="R45" s="257">
        <v>45069</v>
      </c>
      <c r="S45" s="89" t="s">
        <v>316</v>
      </c>
      <c r="T45" s="258" t="s">
        <v>417</v>
      </c>
      <c r="U45" s="89" t="s">
        <v>302</v>
      </c>
    </row>
    <row r="46" spans="1:21" s="143" customFormat="1" x14ac:dyDescent="0.3">
      <c r="A46" s="238">
        <v>44</v>
      </c>
      <c r="B46" s="239" t="s">
        <v>262</v>
      </c>
      <c r="C46" s="240" t="s">
        <v>184</v>
      </c>
      <c r="D46" s="84">
        <v>38</v>
      </c>
      <c r="E46" s="84" t="s">
        <v>109</v>
      </c>
      <c r="F46" s="241">
        <v>40461</v>
      </c>
      <c r="G46" s="242" t="s">
        <v>222</v>
      </c>
      <c r="H46" s="86">
        <v>5</v>
      </c>
      <c r="I46" s="255">
        <v>45070</v>
      </c>
      <c r="J46" s="89" t="s">
        <v>276</v>
      </c>
      <c r="K46" s="256">
        <f t="shared" si="2"/>
        <v>0</v>
      </c>
      <c r="L46" s="158"/>
      <c r="M46" s="256">
        <v>45370</v>
      </c>
      <c r="N46" s="243">
        <f t="shared" si="0"/>
        <v>45370</v>
      </c>
      <c r="O46" s="89">
        <f t="shared" si="3"/>
        <v>45350</v>
      </c>
      <c r="P46" s="143" t="s">
        <v>477</v>
      </c>
      <c r="Q46" s="89" t="s">
        <v>324</v>
      </c>
      <c r="R46" s="257">
        <v>45070</v>
      </c>
      <c r="S46" s="89" t="s">
        <v>342</v>
      </c>
      <c r="T46" s="258" t="s">
        <v>256</v>
      </c>
      <c r="U46" s="89" t="s">
        <v>302</v>
      </c>
    </row>
    <row r="47" spans="1:21" s="143" customFormat="1" x14ac:dyDescent="0.3">
      <c r="A47" s="238">
        <v>45</v>
      </c>
      <c r="B47" s="239" t="s">
        <v>251</v>
      </c>
      <c r="C47" s="240" t="s">
        <v>187</v>
      </c>
      <c r="D47" s="84" t="s">
        <v>70</v>
      </c>
      <c r="E47" s="84" t="s">
        <v>109</v>
      </c>
      <c r="F47" s="241">
        <v>41465</v>
      </c>
      <c r="G47" s="242" t="s">
        <v>222</v>
      </c>
      <c r="H47" s="86">
        <v>4</v>
      </c>
      <c r="I47" s="255">
        <v>45075</v>
      </c>
      <c r="J47" s="89" t="s">
        <v>160</v>
      </c>
      <c r="K47" s="256">
        <f t="shared" si="2"/>
        <v>0</v>
      </c>
      <c r="L47" s="158"/>
      <c r="M47" s="257">
        <v>45375</v>
      </c>
      <c r="N47" s="243">
        <f t="shared" si="0"/>
        <v>45375</v>
      </c>
      <c r="O47" s="143">
        <f t="shared" si="3"/>
        <v>45355</v>
      </c>
      <c r="P47" s="143" t="s">
        <v>478</v>
      </c>
      <c r="Q47" s="89" t="s">
        <v>324</v>
      </c>
      <c r="R47" s="257">
        <v>45075</v>
      </c>
      <c r="S47" s="143" t="s">
        <v>330</v>
      </c>
      <c r="T47" s="258" t="s">
        <v>473</v>
      </c>
      <c r="U47" s="143" t="s">
        <v>307</v>
      </c>
    </row>
    <row r="48" spans="1:21" s="143" customFormat="1" x14ac:dyDescent="0.3">
      <c r="A48" s="238">
        <v>46</v>
      </c>
      <c r="B48" s="239" t="s">
        <v>189</v>
      </c>
      <c r="C48" s="240" t="s">
        <v>184</v>
      </c>
      <c r="D48" s="84" t="s">
        <v>183</v>
      </c>
      <c r="E48" s="84" t="s">
        <v>109</v>
      </c>
      <c r="F48" s="241">
        <v>43142</v>
      </c>
      <c r="G48" s="242" t="s">
        <v>222</v>
      </c>
      <c r="H48" s="86">
        <v>1</v>
      </c>
      <c r="I48" s="255">
        <v>45076</v>
      </c>
      <c r="J48" s="89" t="s">
        <v>276</v>
      </c>
      <c r="K48" s="256">
        <f t="shared" si="2"/>
        <v>0</v>
      </c>
      <c r="L48" s="158"/>
      <c r="M48" s="256">
        <v>45376</v>
      </c>
      <c r="N48" s="243">
        <f t="shared" si="0"/>
        <v>45376</v>
      </c>
      <c r="O48" s="143">
        <f t="shared" si="3"/>
        <v>45356</v>
      </c>
      <c r="P48" s="143" t="s">
        <v>479</v>
      </c>
      <c r="Q48" s="89" t="s">
        <v>324</v>
      </c>
      <c r="R48" s="257">
        <v>45076</v>
      </c>
      <c r="S48" s="143" t="s">
        <v>330</v>
      </c>
      <c r="T48" s="258" t="s">
        <v>417</v>
      </c>
      <c r="U48" s="143" t="s">
        <v>302</v>
      </c>
    </row>
    <row r="49" spans="1:21" s="143" customFormat="1" x14ac:dyDescent="0.3">
      <c r="A49" s="238">
        <v>52</v>
      </c>
      <c r="B49" s="239" t="s">
        <v>273</v>
      </c>
      <c r="C49" s="240" t="s">
        <v>274</v>
      </c>
      <c r="D49" s="84" t="s">
        <v>275</v>
      </c>
      <c r="E49" s="84" t="s">
        <v>109</v>
      </c>
      <c r="F49" s="241">
        <v>43171</v>
      </c>
      <c r="G49" s="242" t="s">
        <v>184</v>
      </c>
      <c r="H49" s="86">
        <v>2</v>
      </c>
      <c r="I49" s="255">
        <v>45261</v>
      </c>
      <c r="J49" s="89" t="s">
        <v>160</v>
      </c>
      <c r="K49" s="256">
        <f t="shared" si="2"/>
        <v>0</v>
      </c>
      <c r="L49" s="158"/>
      <c r="M49" s="257">
        <v>45561</v>
      </c>
      <c r="N49" s="243">
        <f t="shared" si="0"/>
        <v>45561</v>
      </c>
      <c r="P49" s="143" t="s">
        <v>480</v>
      </c>
      <c r="Q49" s="89" t="s">
        <v>324</v>
      </c>
      <c r="R49" s="257">
        <v>45261</v>
      </c>
      <c r="S49" s="143" t="s">
        <v>316</v>
      </c>
      <c r="T49" s="258" t="s">
        <v>417</v>
      </c>
      <c r="U49" s="143" t="s">
        <v>481</v>
      </c>
    </row>
  </sheetData>
  <autoFilter ref="A2:O49" xr:uid="{00000000-0009-0000-0000-00000A000000}">
    <sortState xmlns:xlrd2="http://schemas.microsoft.com/office/spreadsheetml/2017/richdata2" ref="A3:O44">
      <sortCondition ref="M2"/>
    </sortState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49"/>
  <sheetViews>
    <sheetView showGridLines="0" zoomScaleNormal="100" workbookViewId="0">
      <pane xSplit="4" ySplit="2" topLeftCell="N3" activePane="bottomRight" state="frozen"/>
      <selection activeCell="I219" sqref="I219"/>
      <selection pane="topRight" activeCell="I219" sqref="I219"/>
      <selection pane="bottomLeft" activeCell="I219" sqref="I219"/>
      <selection pane="bottomRight" activeCell="L15" sqref="L15"/>
    </sheetView>
  </sheetViews>
  <sheetFormatPr defaultRowHeight="14.4" x14ac:dyDescent="0.3"/>
  <cols>
    <col min="2" max="2" width="9.109375" customWidth="1"/>
    <col min="3" max="3" width="8.33203125" style="123" customWidth="1"/>
    <col min="4" max="4" width="17.33203125" style="6" customWidth="1"/>
    <col min="5" max="5" width="14.33203125" style="6" bestFit="1" customWidth="1"/>
    <col min="6" max="6" width="13.6640625" style="4" customWidth="1"/>
    <col min="7" max="7" width="13.5546875" style="123" customWidth="1"/>
    <col min="8" max="8" width="12.109375" style="6" customWidth="1"/>
    <col min="9" max="9" width="15.44140625" style="4" bestFit="1" customWidth="1"/>
    <col min="10" max="10" width="9.33203125" customWidth="1"/>
    <col min="11" max="11" width="10.6640625" bestFit="1" customWidth="1"/>
    <col min="12" max="12" width="14.44140625" bestFit="1" customWidth="1"/>
    <col min="13" max="13" width="12.44140625" customWidth="1"/>
    <col min="14" max="14" width="10.33203125" customWidth="1"/>
    <col min="15" max="15" width="13.109375" hidden="1" customWidth="1"/>
    <col min="16" max="16" width="13.109375" customWidth="1"/>
    <col min="17" max="17" width="31.5546875" style="215" customWidth="1"/>
    <col min="18" max="18" width="31.5546875" customWidth="1"/>
    <col min="19" max="19" width="24.21875" customWidth="1"/>
    <col min="20" max="20" width="20.44140625" customWidth="1"/>
    <col min="21" max="21" width="20.44140625" style="224" customWidth="1"/>
    <col min="22" max="22" width="18.6640625" style="227" customWidth="1"/>
  </cols>
  <sheetData>
    <row r="1" spans="1:22" x14ac:dyDescent="0.3">
      <c r="L1" s="153">
        <v>45458</v>
      </c>
      <c r="M1" s="139"/>
      <c r="N1" s="139"/>
      <c r="O1" s="139"/>
      <c r="P1" s="228"/>
      <c r="Q1" s="139"/>
      <c r="R1" s="231"/>
      <c r="S1" s="139"/>
      <c r="T1" s="139"/>
      <c r="U1" s="221"/>
      <c r="V1" s="225"/>
    </row>
    <row r="2" spans="1:22" x14ac:dyDescent="0.3">
      <c r="A2" s="61" t="s">
        <v>0</v>
      </c>
      <c r="B2" s="61" t="s">
        <v>1</v>
      </c>
      <c r="C2" s="61" t="s">
        <v>186</v>
      </c>
      <c r="D2" s="61" t="s">
        <v>2</v>
      </c>
      <c r="E2" s="61" t="s">
        <v>104</v>
      </c>
      <c r="F2" s="61" t="s">
        <v>100</v>
      </c>
      <c r="G2" s="61" t="s">
        <v>198</v>
      </c>
      <c r="H2" s="61" t="s">
        <v>101</v>
      </c>
      <c r="I2" s="61" t="s">
        <v>158</v>
      </c>
      <c r="J2" s="61" t="s">
        <v>106</v>
      </c>
      <c r="K2" s="137" t="s">
        <v>99</v>
      </c>
      <c r="L2" s="61" t="s">
        <v>159</v>
      </c>
      <c r="M2" s="61" t="s">
        <v>97</v>
      </c>
      <c r="N2" s="61" t="s">
        <v>118</v>
      </c>
      <c r="O2" s="61" t="s">
        <v>118</v>
      </c>
      <c r="P2" s="137"/>
      <c r="Q2" s="233" t="s">
        <v>295</v>
      </c>
      <c r="R2" s="67" t="s">
        <v>296</v>
      </c>
      <c r="S2" s="67" t="s">
        <v>297</v>
      </c>
      <c r="T2" s="235" t="s">
        <v>298</v>
      </c>
      <c r="U2" s="222" t="s">
        <v>299</v>
      </c>
      <c r="V2" s="226" t="s">
        <v>300</v>
      </c>
    </row>
    <row r="3" spans="1:22" x14ac:dyDescent="0.3">
      <c r="A3" s="51">
        <v>1</v>
      </c>
      <c r="B3" s="146" t="s">
        <v>252</v>
      </c>
      <c r="C3" s="135" t="s">
        <v>215</v>
      </c>
      <c r="D3" s="134" t="s">
        <v>253</v>
      </c>
      <c r="E3" s="134" t="s">
        <v>108</v>
      </c>
      <c r="F3" s="149">
        <v>43170</v>
      </c>
      <c r="G3" s="130" t="s">
        <v>184</v>
      </c>
      <c r="H3" s="131">
        <v>2</v>
      </c>
      <c r="I3" s="152">
        <v>45352</v>
      </c>
      <c r="J3" s="132" t="s">
        <v>160</v>
      </c>
      <c r="K3" s="154">
        <f t="shared" ref="K3:K49" si="0">$L$1</f>
        <v>45458</v>
      </c>
      <c r="L3" s="140"/>
      <c r="M3" s="153">
        <f t="shared" ref="M3:M23" si="1">(315-((L3*30)+5))+$L$1</f>
        <v>45768</v>
      </c>
      <c r="N3" s="155">
        <f t="shared" ref="N3:N49" si="2">I3+300</f>
        <v>45652</v>
      </c>
      <c r="O3" s="78">
        <f t="shared" ref="O3:O26" si="3">M3+280</f>
        <v>46048</v>
      </c>
      <c r="P3" s="229"/>
      <c r="Q3" s="212" t="s">
        <v>404</v>
      </c>
      <c r="R3" s="232" t="s">
        <v>324</v>
      </c>
      <c r="S3" s="206">
        <v>45427</v>
      </c>
      <c r="T3" s="55" t="s">
        <v>316</v>
      </c>
      <c r="U3" s="221">
        <v>21</v>
      </c>
      <c r="V3" s="212" t="s">
        <v>302</v>
      </c>
    </row>
    <row r="4" spans="1:22" x14ac:dyDescent="0.3">
      <c r="A4" s="51">
        <v>2</v>
      </c>
      <c r="B4" s="146" t="s">
        <v>244</v>
      </c>
      <c r="C4" s="135" t="s">
        <v>215</v>
      </c>
      <c r="D4" s="134" t="s">
        <v>245</v>
      </c>
      <c r="E4" s="134" t="s">
        <v>108</v>
      </c>
      <c r="F4" s="149">
        <v>43177</v>
      </c>
      <c r="G4" s="130" t="s">
        <v>184</v>
      </c>
      <c r="H4" s="131">
        <v>2</v>
      </c>
      <c r="I4" s="152">
        <v>45268</v>
      </c>
      <c r="J4" s="132" t="s">
        <v>157</v>
      </c>
      <c r="K4" s="154">
        <f t="shared" si="0"/>
        <v>45458</v>
      </c>
      <c r="L4" s="140">
        <v>4</v>
      </c>
      <c r="M4" s="153">
        <f t="shared" si="1"/>
        <v>45648</v>
      </c>
      <c r="N4" s="155">
        <f t="shared" si="2"/>
        <v>45568</v>
      </c>
      <c r="O4" s="78">
        <f t="shared" si="3"/>
        <v>45928</v>
      </c>
      <c r="P4" s="229"/>
      <c r="Q4" s="139" t="s">
        <v>405</v>
      </c>
      <c r="R4" s="232" t="s">
        <v>327</v>
      </c>
      <c r="S4" s="214">
        <v>45390</v>
      </c>
      <c r="T4" s="55" t="s">
        <v>330</v>
      </c>
      <c r="U4" s="221" t="s">
        <v>417</v>
      </c>
      <c r="V4" s="212" t="s">
        <v>302</v>
      </c>
    </row>
    <row r="5" spans="1:22" x14ac:dyDescent="0.3">
      <c r="A5" s="159">
        <v>3</v>
      </c>
      <c r="B5" s="160" t="s">
        <v>239</v>
      </c>
      <c r="C5" s="161" t="s">
        <v>187</v>
      </c>
      <c r="D5" s="162" t="s">
        <v>4</v>
      </c>
      <c r="E5" s="173" t="s">
        <v>109</v>
      </c>
      <c r="F5" s="163">
        <v>41524</v>
      </c>
      <c r="G5" s="164" t="s">
        <v>184</v>
      </c>
      <c r="H5" s="165">
        <v>4</v>
      </c>
      <c r="I5" s="166">
        <v>45291</v>
      </c>
      <c r="J5" s="167" t="s">
        <v>160</v>
      </c>
      <c r="K5" s="168">
        <f t="shared" si="0"/>
        <v>45458</v>
      </c>
      <c r="L5" s="172"/>
      <c r="M5" s="153">
        <f t="shared" si="1"/>
        <v>45768</v>
      </c>
      <c r="N5" s="170">
        <f t="shared" si="2"/>
        <v>45591</v>
      </c>
      <c r="O5" s="171">
        <f t="shared" si="3"/>
        <v>46048</v>
      </c>
      <c r="P5" s="230" t="s">
        <v>111</v>
      </c>
      <c r="Q5" s="225" t="s">
        <v>406</v>
      </c>
      <c r="R5" s="232" t="s">
        <v>324</v>
      </c>
      <c r="S5" s="214">
        <v>45420</v>
      </c>
      <c r="T5" s="236" t="s">
        <v>334</v>
      </c>
      <c r="U5" s="223" t="s">
        <v>335</v>
      </c>
      <c r="V5" s="217" t="s">
        <v>307</v>
      </c>
    </row>
    <row r="6" spans="1:22" x14ac:dyDescent="0.3">
      <c r="A6" s="159">
        <v>4</v>
      </c>
      <c r="B6" s="160" t="s">
        <v>246</v>
      </c>
      <c r="C6" s="161" t="s">
        <v>187</v>
      </c>
      <c r="D6" s="162" t="s">
        <v>247</v>
      </c>
      <c r="E6" s="162" t="s">
        <v>108</v>
      </c>
      <c r="F6" s="163">
        <v>41463</v>
      </c>
      <c r="G6" s="164" t="s">
        <v>184</v>
      </c>
      <c r="H6" s="165">
        <v>5</v>
      </c>
      <c r="I6" s="166">
        <v>45222</v>
      </c>
      <c r="J6" s="167" t="s">
        <v>160</v>
      </c>
      <c r="K6" s="168">
        <f t="shared" si="0"/>
        <v>45458</v>
      </c>
      <c r="L6" s="172"/>
      <c r="M6" s="153">
        <f t="shared" si="1"/>
        <v>45768</v>
      </c>
      <c r="N6" s="170">
        <f t="shared" si="2"/>
        <v>45522</v>
      </c>
      <c r="O6" s="171">
        <f t="shared" si="3"/>
        <v>46048</v>
      </c>
      <c r="P6" s="230" t="s">
        <v>111</v>
      </c>
      <c r="Q6" s="225" t="s">
        <v>407</v>
      </c>
      <c r="R6" s="232" t="s">
        <v>324</v>
      </c>
      <c r="S6" s="214">
        <v>45364</v>
      </c>
      <c r="T6" s="236" t="s">
        <v>334</v>
      </c>
      <c r="U6" s="223" t="s">
        <v>335</v>
      </c>
      <c r="V6" s="217" t="s">
        <v>307</v>
      </c>
    </row>
    <row r="7" spans="1:22" x14ac:dyDescent="0.3">
      <c r="A7" s="51">
        <v>5</v>
      </c>
      <c r="B7" s="146" t="s">
        <v>23</v>
      </c>
      <c r="C7" s="135" t="s">
        <v>187</v>
      </c>
      <c r="D7" s="134" t="s">
        <v>26</v>
      </c>
      <c r="E7" s="134" t="s">
        <v>109</v>
      </c>
      <c r="F7" s="149">
        <v>41565</v>
      </c>
      <c r="G7" s="130" t="s">
        <v>222</v>
      </c>
      <c r="H7" s="131">
        <v>4</v>
      </c>
      <c r="I7" s="152">
        <v>44770</v>
      </c>
      <c r="J7" s="132" t="s">
        <v>157</v>
      </c>
      <c r="K7" s="154">
        <f t="shared" si="0"/>
        <v>45458</v>
      </c>
      <c r="L7" s="140">
        <v>6</v>
      </c>
      <c r="M7" s="153">
        <f t="shared" si="1"/>
        <v>45588</v>
      </c>
      <c r="N7" s="155">
        <f t="shared" si="2"/>
        <v>45070</v>
      </c>
      <c r="O7" s="78">
        <f t="shared" si="3"/>
        <v>45868</v>
      </c>
      <c r="P7" s="229"/>
      <c r="Q7" s="216" t="s">
        <v>408</v>
      </c>
      <c r="R7" s="232" t="s">
        <v>327</v>
      </c>
      <c r="S7" s="213">
        <v>45172</v>
      </c>
      <c r="T7" s="55" t="s">
        <v>330</v>
      </c>
      <c r="U7" s="221" t="s">
        <v>417</v>
      </c>
      <c r="V7" s="212" t="s">
        <v>302</v>
      </c>
    </row>
    <row r="8" spans="1:22" x14ac:dyDescent="0.3">
      <c r="A8" s="159">
        <v>6</v>
      </c>
      <c r="B8" s="160" t="s">
        <v>47</v>
      </c>
      <c r="C8" s="161" t="s">
        <v>187</v>
      </c>
      <c r="D8" s="162" t="s">
        <v>48</v>
      </c>
      <c r="E8" s="162" t="s">
        <v>109</v>
      </c>
      <c r="F8" s="163">
        <v>41156</v>
      </c>
      <c r="G8" s="164" t="s">
        <v>222</v>
      </c>
      <c r="H8" s="165">
        <v>5</v>
      </c>
      <c r="I8" s="166">
        <v>44772</v>
      </c>
      <c r="J8" s="167" t="s">
        <v>160</v>
      </c>
      <c r="K8" s="168">
        <f t="shared" si="0"/>
        <v>45458</v>
      </c>
      <c r="L8" s="172"/>
      <c r="M8" s="153">
        <f t="shared" si="1"/>
        <v>45768</v>
      </c>
      <c r="N8" s="170">
        <f t="shared" si="2"/>
        <v>45072</v>
      </c>
      <c r="O8" s="171">
        <f t="shared" si="3"/>
        <v>46048</v>
      </c>
      <c r="P8" s="230" t="s">
        <v>111</v>
      </c>
      <c r="Q8" s="216" t="s">
        <v>409</v>
      </c>
      <c r="R8" s="232" t="s">
        <v>325</v>
      </c>
      <c r="S8" s="214">
        <v>45032</v>
      </c>
      <c r="T8" s="236" t="s">
        <v>342</v>
      </c>
      <c r="U8" s="223" t="s">
        <v>335</v>
      </c>
      <c r="V8" s="217" t="s">
        <v>307</v>
      </c>
    </row>
    <row r="9" spans="1:22" x14ac:dyDescent="0.3">
      <c r="A9" s="51">
        <v>7</v>
      </c>
      <c r="B9" s="146" t="s">
        <v>57</v>
      </c>
      <c r="C9" s="135" t="s">
        <v>187</v>
      </c>
      <c r="D9" s="134" t="s">
        <v>58</v>
      </c>
      <c r="E9" s="134" t="s">
        <v>109</v>
      </c>
      <c r="F9" s="149">
        <v>41247</v>
      </c>
      <c r="G9" s="130" t="s">
        <v>222</v>
      </c>
      <c r="H9" s="131">
        <v>4</v>
      </c>
      <c r="I9" s="152">
        <v>44776</v>
      </c>
      <c r="J9" s="132" t="s">
        <v>157</v>
      </c>
      <c r="K9" s="154">
        <f t="shared" si="0"/>
        <v>45458</v>
      </c>
      <c r="L9" s="158">
        <v>3</v>
      </c>
      <c r="M9" s="153">
        <f t="shared" si="1"/>
        <v>45678</v>
      </c>
      <c r="N9" s="155">
        <f t="shared" si="2"/>
        <v>45076</v>
      </c>
      <c r="O9" s="78">
        <f t="shared" si="3"/>
        <v>45958</v>
      </c>
      <c r="P9" s="229"/>
      <c r="Q9" s="216" t="s">
        <v>410</v>
      </c>
      <c r="R9" s="232" t="s">
        <v>327</v>
      </c>
      <c r="S9" s="214">
        <v>45411</v>
      </c>
      <c r="T9" s="55" t="s">
        <v>330</v>
      </c>
      <c r="U9" s="221" t="s">
        <v>417</v>
      </c>
      <c r="V9" s="212" t="s">
        <v>302</v>
      </c>
    </row>
    <row r="10" spans="1:22" x14ac:dyDescent="0.3">
      <c r="A10" s="51">
        <v>8</v>
      </c>
      <c r="B10" s="146" t="s">
        <v>240</v>
      </c>
      <c r="C10" s="135" t="s">
        <v>187</v>
      </c>
      <c r="D10" s="134" t="s">
        <v>241</v>
      </c>
      <c r="E10" s="134" t="s">
        <v>109</v>
      </c>
      <c r="F10" s="149">
        <v>41496</v>
      </c>
      <c r="G10" s="130" t="s">
        <v>184</v>
      </c>
      <c r="H10" s="131">
        <v>6</v>
      </c>
      <c r="I10" s="152">
        <v>45261</v>
      </c>
      <c r="J10" s="132" t="s">
        <v>157</v>
      </c>
      <c r="K10" s="154">
        <f t="shared" si="0"/>
        <v>45458</v>
      </c>
      <c r="L10" s="140">
        <v>3</v>
      </c>
      <c r="M10" s="153">
        <f t="shared" si="1"/>
        <v>45678</v>
      </c>
      <c r="N10" s="155">
        <f t="shared" si="2"/>
        <v>45561</v>
      </c>
      <c r="O10" s="78">
        <f t="shared" si="3"/>
        <v>45958</v>
      </c>
      <c r="P10" s="229"/>
      <c r="Q10" s="216" t="s">
        <v>411</v>
      </c>
      <c r="R10" s="232" t="s">
        <v>327</v>
      </c>
      <c r="S10" s="214">
        <v>45416</v>
      </c>
      <c r="T10" s="55" t="s">
        <v>316</v>
      </c>
      <c r="U10" s="221" t="s">
        <v>417</v>
      </c>
      <c r="V10" s="212" t="s">
        <v>302</v>
      </c>
    </row>
    <row r="11" spans="1:22" x14ac:dyDescent="0.3">
      <c r="A11" s="51">
        <v>9</v>
      </c>
      <c r="B11" s="136">
        <v>170309</v>
      </c>
      <c r="C11" s="133" t="s">
        <v>184</v>
      </c>
      <c r="D11" s="134" t="s">
        <v>238</v>
      </c>
      <c r="E11" s="134" t="s">
        <v>109</v>
      </c>
      <c r="F11" s="149">
        <v>42800</v>
      </c>
      <c r="G11" s="130" t="s">
        <v>184</v>
      </c>
      <c r="H11" s="131">
        <v>2</v>
      </c>
      <c r="I11" s="152">
        <v>45413</v>
      </c>
      <c r="J11" s="132" t="s">
        <v>160</v>
      </c>
      <c r="K11" s="154">
        <f t="shared" si="0"/>
        <v>45458</v>
      </c>
      <c r="L11" s="144"/>
      <c r="M11" s="153">
        <f t="shared" si="1"/>
        <v>45768</v>
      </c>
      <c r="N11" s="155">
        <f t="shared" si="2"/>
        <v>45713</v>
      </c>
      <c r="O11" s="78">
        <f t="shared" si="3"/>
        <v>46048</v>
      </c>
      <c r="P11" s="229"/>
      <c r="Q11" s="216" t="s">
        <v>412</v>
      </c>
      <c r="R11" s="232" t="s">
        <v>325</v>
      </c>
      <c r="S11" s="214">
        <v>45472</v>
      </c>
      <c r="T11" s="55" t="s">
        <v>316</v>
      </c>
      <c r="U11" s="221" t="s">
        <v>417</v>
      </c>
      <c r="V11" s="212" t="s">
        <v>302</v>
      </c>
    </row>
    <row r="12" spans="1:22" x14ac:dyDescent="0.3">
      <c r="A12" s="51">
        <v>10</v>
      </c>
      <c r="B12" s="146" t="s">
        <v>242</v>
      </c>
      <c r="C12" s="135" t="s">
        <v>187</v>
      </c>
      <c r="D12" s="134" t="s">
        <v>243</v>
      </c>
      <c r="E12" s="134" t="s">
        <v>109</v>
      </c>
      <c r="F12" s="149">
        <v>41526</v>
      </c>
      <c r="G12" s="130" t="s">
        <v>184</v>
      </c>
      <c r="H12" s="131">
        <v>5</v>
      </c>
      <c r="I12" s="152">
        <v>45297</v>
      </c>
      <c r="J12" s="132" t="s">
        <v>157</v>
      </c>
      <c r="K12" s="154">
        <f t="shared" si="0"/>
        <v>45458</v>
      </c>
      <c r="L12" s="140">
        <v>2.5</v>
      </c>
      <c r="M12" s="153">
        <f t="shared" si="1"/>
        <v>45693</v>
      </c>
      <c r="N12" s="155">
        <f t="shared" si="2"/>
        <v>45597</v>
      </c>
      <c r="O12" s="78">
        <f t="shared" si="3"/>
        <v>45973</v>
      </c>
      <c r="P12" s="229"/>
      <c r="Q12" s="216" t="s">
        <v>413</v>
      </c>
      <c r="R12" s="232" t="s">
        <v>327</v>
      </c>
      <c r="S12" s="206">
        <v>45421</v>
      </c>
      <c r="T12" s="55" t="s">
        <v>330</v>
      </c>
      <c r="U12" s="221" t="s">
        <v>256</v>
      </c>
      <c r="V12" s="212" t="s">
        <v>302</v>
      </c>
    </row>
    <row r="13" spans="1:22" x14ac:dyDescent="0.3">
      <c r="A13" s="51">
        <v>11</v>
      </c>
      <c r="B13" s="156" t="s">
        <v>134</v>
      </c>
      <c r="C13" s="127" t="s">
        <v>187</v>
      </c>
      <c r="D13" s="53" t="s">
        <v>237</v>
      </c>
      <c r="E13" s="53" t="s">
        <v>109</v>
      </c>
      <c r="F13" s="148">
        <v>41436</v>
      </c>
      <c r="G13" s="124" t="s">
        <v>184</v>
      </c>
      <c r="H13" s="64">
        <v>4</v>
      </c>
      <c r="I13" s="151">
        <v>45323</v>
      </c>
      <c r="J13" s="55" t="s">
        <v>160</v>
      </c>
      <c r="K13" s="154">
        <f t="shared" si="0"/>
        <v>45458</v>
      </c>
      <c r="L13" s="140"/>
      <c r="M13" s="153">
        <f t="shared" si="1"/>
        <v>45768</v>
      </c>
      <c r="N13" s="155">
        <f t="shared" si="2"/>
        <v>45623</v>
      </c>
      <c r="O13" s="78">
        <f t="shared" si="3"/>
        <v>46048</v>
      </c>
      <c r="P13" s="229"/>
      <c r="Q13" s="139" t="s">
        <v>414</v>
      </c>
      <c r="R13" s="232" t="s">
        <v>325</v>
      </c>
      <c r="S13" s="212">
        <v>45395</v>
      </c>
      <c r="T13" s="55" t="s">
        <v>316</v>
      </c>
      <c r="U13" s="221">
        <v>21</v>
      </c>
      <c r="V13" s="212" t="s">
        <v>302</v>
      </c>
    </row>
    <row r="14" spans="1:22" x14ac:dyDescent="0.3">
      <c r="A14" s="159">
        <v>12</v>
      </c>
      <c r="B14" s="160" t="s">
        <v>235</v>
      </c>
      <c r="C14" s="161" t="s">
        <v>184</v>
      </c>
      <c r="D14" s="162" t="s">
        <v>236</v>
      </c>
      <c r="E14" s="162" t="s">
        <v>109</v>
      </c>
      <c r="F14" s="163">
        <v>41192</v>
      </c>
      <c r="G14" s="164" t="s">
        <v>184</v>
      </c>
      <c r="H14" s="165">
        <v>5</v>
      </c>
      <c r="I14" s="166">
        <v>45318</v>
      </c>
      <c r="J14" s="167" t="s">
        <v>160</v>
      </c>
      <c r="K14" s="168">
        <f t="shared" si="0"/>
        <v>45458</v>
      </c>
      <c r="L14" s="169"/>
      <c r="M14" s="153">
        <f t="shared" si="1"/>
        <v>45768</v>
      </c>
      <c r="N14" s="170">
        <f t="shared" si="2"/>
        <v>45618</v>
      </c>
      <c r="O14" s="171">
        <f t="shared" si="3"/>
        <v>46048</v>
      </c>
      <c r="P14" s="230" t="s">
        <v>111</v>
      </c>
      <c r="Q14" s="216" t="s">
        <v>415</v>
      </c>
      <c r="R14" s="232" t="s">
        <v>325</v>
      </c>
      <c r="S14" s="214">
        <v>45398</v>
      </c>
      <c r="T14" s="236" t="s">
        <v>342</v>
      </c>
      <c r="U14" s="223">
        <v>24</v>
      </c>
      <c r="V14" s="217" t="s">
        <v>307</v>
      </c>
    </row>
    <row r="15" spans="1:22" x14ac:dyDescent="0.3">
      <c r="A15" s="159">
        <v>13</v>
      </c>
      <c r="B15" s="160" t="s">
        <v>233</v>
      </c>
      <c r="C15" s="174" t="s">
        <v>184</v>
      </c>
      <c r="D15" s="175" t="s">
        <v>234</v>
      </c>
      <c r="E15" s="162" t="s">
        <v>108</v>
      </c>
      <c r="F15" s="163">
        <v>41395</v>
      </c>
      <c r="G15" s="164" t="s">
        <v>184</v>
      </c>
      <c r="H15" s="165">
        <v>6</v>
      </c>
      <c r="I15" s="166">
        <v>45332</v>
      </c>
      <c r="J15" s="167" t="s">
        <v>160</v>
      </c>
      <c r="K15" s="168">
        <f t="shared" si="0"/>
        <v>45458</v>
      </c>
      <c r="L15" s="169"/>
      <c r="M15" s="153">
        <f t="shared" si="1"/>
        <v>45768</v>
      </c>
      <c r="N15" s="170">
        <f t="shared" si="2"/>
        <v>45632</v>
      </c>
      <c r="O15" s="171">
        <f t="shared" si="3"/>
        <v>46048</v>
      </c>
      <c r="P15" s="230" t="s">
        <v>111</v>
      </c>
      <c r="Q15" s="139" t="s">
        <v>416</v>
      </c>
      <c r="R15" s="232" t="s">
        <v>325</v>
      </c>
      <c r="S15" s="214">
        <v>45400</v>
      </c>
      <c r="T15" s="236" t="s">
        <v>334</v>
      </c>
      <c r="U15" s="223">
        <v>23</v>
      </c>
      <c r="V15" s="217" t="s">
        <v>307</v>
      </c>
    </row>
    <row r="16" spans="1:22" x14ac:dyDescent="0.3">
      <c r="A16" s="51">
        <v>14</v>
      </c>
      <c r="B16" s="146" t="s">
        <v>21</v>
      </c>
      <c r="C16" s="135" t="s">
        <v>187</v>
      </c>
      <c r="D16" s="134" t="s">
        <v>22</v>
      </c>
      <c r="E16" s="134" t="s">
        <v>109</v>
      </c>
      <c r="F16" s="149">
        <v>41477</v>
      </c>
      <c r="G16" s="130" t="s">
        <v>184</v>
      </c>
      <c r="H16" s="131">
        <v>5</v>
      </c>
      <c r="I16" s="152">
        <v>45335</v>
      </c>
      <c r="J16" s="132" t="s">
        <v>160</v>
      </c>
      <c r="K16" s="154">
        <f t="shared" si="0"/>
        <v>45458</v>
      </c>
      <c r="L16" s="142"/>
      <c r="M16" s="153">
        <f t="shared" si="1"/>
        <v>45768</v>
      </c>
      <c r="N16" s="155">
        <f t="shared" si="2"/>
        <v>45635</v>
      </c>
      <c r="O16" s="78">
        <f t="shared" si="3"/>
        <v>46048</v>
      </c>
      <c r="P16" s="229"/>
      <c r="Q16" s="139" t="s">
        <v>418</v>
      </c>
      <c r="R16" s="232" t="s">
        <v>324</v>
      </c>
      <c r="S16" s="214">
        <v>45406</v>
      </c>
      <c r="T16" s="55" t="s">
        <v>316</v>
      </c>
      <c r="U16" s="221" t="s">
        <v>417</v>
      </c>
      <c r="V16" s="212" t="s">
        <v>302</v>
      </c>
    </row>
    <row r="17" spans="1:22" x14ac:dyDescent="0.3">
      <c r="A17" s="51">
        <v>15</v>
      </c>
      <c r="B17" s="146" t="s">
        <v>224</v>
      </c>
      <c r="C17" s="135" t="s">
        <v>184</v>
      </c>
      <c r="D17" s="134" t="s">
        <v>225</v>
      </c>
      <c r="E17" s="134" t="s">
        <v>108</v>
      </c>
      <c r="F17" s="149">
        <v>40704</v>
      </c>
      <c r="G17" s="130" t="s">
        <v>184</v>
      </c>
      <c r="H17" s="131">
        <v>6</v>
      </c>
      <c r="I17" s="152">
        <v>45357</v>
      </c>
      <c r="J17" s="132" t="s">
        <v>160</v>
      </c>
      <c r="K17" s="154">
        <f t="shared" si="0"/>
        <v>45458</v>
      </c>
      <c r="L17" s="142"/>
      <c r="M17" s="153">
        <f t="shared" si="1"/>
        <v>45768</v>
      </c>
      <c r="N17" s="155">
        <f t="shared" si="2"/>
        <v>45657</v>
      </c>
      <c r="O17" s="78">
        <f t="shared" si="3"/>
        <v>46048</v>
      </c>
      <c r="P17" s="229"/>
      <c r="Q17" s="139" t="s">
        <v>419</v>
      </c>
      <c r="R17" s="232" t="s">
        <v>324</v>
      </c>
      <c r="S17" s="214">
        <v>45411</v>
      </c>
      <c r="T17" s="55" t="s">
        <v>330</v>
      </c>
      <c r="U17" s="221" t="s">
        <v>417</v>
      </c>
      <c r="V17" s="212" t="s">
        <v>302</v>
      </c>
    </row>
    <row r="18" spans="1:22" x14ac:dyDescent="0.3">
      <c r="A18" s="51">
        <v>16</v>
      </c>
      <c r="B18" s="146" t="s">
        <v>133</v>
      </c>
      <c r="C18" s="135" t="s">
        <v>187</v>
      </c>
      <c r="D18" s="134" t="s">
        <v>223</v>
      </c>
      <c r="E18" s="134" t="s">
        <v>109</v>
      </c>
      <c r="F18" s="149">
        <v>41319</v>
      </c>
      <c r="G18" s="130" t="s">
        <v>222</v>
      </c>
      <c r="H18" s="131">
        <v>3</v>
      </c>
      <c r="I18" s="152">
        <v>44901</v>
      </c>
      <c r="J18" s="132" t="s">
        <v>157</v>
      </c>
      <c r="K18" s="154">
        <f t="shared" si="0"/>
        <v>45458</v>
      </c>
      <c r="L18" s="142">
        <v>5</v>
      </c>
      <c r="M18" s="153">
        <f t="shared" si="1"/>
        <v>45618</v>
      </c>
      <c r="N18" s="155">
        <f t="shared" si="2"/>
        <v>45201</v>
      </c>
      <c r="O18" s="78">
        <f t="shared" si="3"/>
        <v>45898</v>
      </c>
      <c r="P18" s="229"/>
      <c r="Q18" s="139" t="s">
        <v>420</v>
      </c>
      <c r="R18" s="232" t="s">
        <v>327</v>
      </c>
      <c r="S18" s="214">
        <v>45320</v>
      </c>
      <c r="T18" s="55" t="s">
        <v>330</v>
      </c>
      <c r="U18" s="221" t="s">
        <v>417</v>
      </c>
      <c r="V18" s="212" t="s">
        <v>302</v>
      </c>
    </row>
    <row r="19" spans="1:22" x14ac:dyDescent="0.3">
      <c r="A19" s="51">
        <v>17</v>
      </c>
      <c r="B19" s="146" t="s">
        <v>231</v>
      </c>
      <c r="C19" s="135" t="s">
        <v>215</v>
      </c>
      <c r="D19" s="134" t="s">
        <v>232</v>
      </c>
      <c r="E19" s="134" t="s">
        <v>109</v>
      </c>
      <c r="F19" s="149">
        <v>41428</v>
      </c>
      <c r="G19" s="130" t="s">
        <v>184</v>
      </c>
      <c r="H19" s="131">
        <v>6</v>
      </c>
      <c r="I19" s="152">
        <v>45324</v>
      </c>
      <c r="J19" s="132" t="s">
        <v>160</v>
      </c>
      <c r="K19" s="154">
        <f t="shared" si="0"/>
        <v>45458</v>
      </c>
      <c r="L19" s="142"/>
      <c r="M19" s="153">
        <f t="shared" si="1"/>
        <v>45768</v>
      </c>
      <c r="N19" s="155">
        <f t="shared" si="2"/>
        <v>45624</v>
      </c>
      <c r="O19" s="78">
        <f t="shared" si="3"/>
        <v>46048</v>
      </c>
      <c r="P19" s="229"/>
      <c r="Q19" s="139" t="s">
        <v>421</v>
      </c>
      <c r="R19" s="232" t="s">
        <v>325</v>
      </c>
      <c r="S19" s="214">
        <v>45371</v>
      </c>
      <c r="T19" s="55" t="s">
        <v>316</v>
      </c>
      <c r="U19" s="221" t="s">
        <v>417</v>
      </c>
      <c r="V19" s="212" t="s">
        <v>302</v>
      </c>
    </row>
    <row r="20" spans="1:22" x14ac:dyDescent="0.3">
      <c r="A20" s="159">
        <v>18</v>
      </c>
      <c r="B20" s="160" t="s">
        <v>229</v>
      </c>
      <c r="C20" s="161" t="s">
        <v>184</v>
      </c>
      <c r="D20" s="162" t="s">
        <v>230</v>
      </c>
      <c r="E20" s="162" t="s">
        <v>108</v>
      </c>
      <c r="F20" s="163">
        <v>40909</v>
      </c>
      <c r="G20" s="164" t="s">
        <v>184</v>
      </c>
      <c r="H20" s="165">
        <v>5</v>
      </c>
      <c r="I20" s="166">
        <v>45319</v>
      </c>
      <c r="J20" s="167" t="s">
        <v>160</v>
      </c>
      <c r="K20" s="168">
        <f t="shared" si="0"/>
        <v>45458</v>
      </c>
      <c r="L20" s="169"/>
      <c r="M20" s="153">
        <f t="shared" si="1"/>
        <v>45768</v>
      </c>
      <c r="N20" s="170">
        <f t="shared" si="2"/>
        <v>45619</v>
      </c>
      <c r="O20" s="171">
        <f t="shared" si="3"/>
        <v>46048</v>
      </c>
      <c r="P20" s="230"/>
      <c r="Q20" s="139" t="s">
        <v>422</v>
      </c>
      <c r="R20" s="232" t="s">
        <v>325</v>
      </c>
      <c r="S20" s="214">
        <v>45366</v>
      </c>
      <c r="T20" s="236" t="s">
        <v>342</v>
      </c>
      <c r="U20" s="223" t="s">
        <v>335</v>
      </c>
      <c r="V20" s="217" t="s">
        <v>302</v>
      </c>
    </row>
    <row r="21" spans="1:22" x14ac:dyDescent="0.3">
      <c r="A21" s="51">
        <v>19</v>
      </c>
      <c r="B21" s="146" t="s">
        <v>227</v>
      </c>
      <c r="C21" s="135" t="s">
        <v>215</v>
      </c>
      <c r="D21" s="134" t="s">
        <v>228</v>
      </c>
      <c r="E21" s="134" t="s">
        <v>108</v>
      </c>
      <c r="F21" s="149">
        <v>41826</v>
      </c>
      <c r="G21" s="130" t="s">
        <v>222</v>
      </c>
      <c r="H21" s="131">
        <v>3</v>
      </c>
      <c r="I21" s="152">
        <v>44915</v>
      </c>
      <c r="J21" s="132" t="s">
        <v>157</v>
      </c>
      <c r="K21" s="154">
        <f t="shared" si="0"/>
        <v>45458</v>
      </c>
      <c r="L21" s="142">
        <v>4</v>
      </c>
      <c r="M21" s="153">
        <f t="shared" si="1"/>
        <v>45648</v>
      </c>
      <c r="N21" s="155">
        <f t="shared" si="2"/>
        <v>45215</v>
      </c>
      <c r="O21" s="78">
        <f t="shared" si="3"/>
        <v>45928</v>
      </c>
      <c r="P21" s="229"/>
      <c r="Q21" s="139" t="s">
        <v>423</v>
      </c>
      <c r="R21" s="232" t="s">
        <v>327</v>
      </c>
      <c r="S21" s="214">
        <v>45342</v>
      </c>
      <c r="T21" s="55" t="s">
        <v>330</v>
      </c>
      <c r="U21" s="221" t="s">
        <v>417</v>
      </c>
      <c r="V21" s="212" t="s">
        <v>302</v>
      </c>
    </row>
    <row r="22" spans="1:22" x14ac:dyDescent="0.3">
      <c r="A22" s="51">
        <v>20</v>
      </c>
      <c r="B22" s="146" t="s">
        <v>136</v>
      </c>
      <c r="C22" s="135" t="s">
        <v>187</v>
      </c>
      <c r="D22" s="134" t="s">
        <v>226</v>
      </c>
      <c r="E22" s="134" t="s">
        <v>109</v>
      </c>
      <c r="F22" s="149">
        <v>41431</v>
      </c>
      <c r="G22" s="130" t="s">
        <v>184</v>
      </c>
      <c r="H22" s="131">
        <v>3</v>
      </c>
      <c r="I22" s="152">
        <v>45232</v>
      </c>
      <c r="J22" s="132" t="s">
        <v>276</v>
      </c>
      <c r="K22" s="154">
        <f t="shared" si="0"/>
        <v>45458</v>
      </c>
      <c r="L22" s="142"/>
      <c r="M22" s="153">
        <f t="shared" si="1"/>
        <v>45768</v>
      </c>
      <c r="N22" s="155">
        <f t="shared" si="2"/>
        <v>45532</v>
      </c>
      <c r="O22" s="78">
        <f t="shared" si="3"/>
        <v>46048</v>
      </c>
      <c r="P22" s="229"/>
      <c r="Q22" s="139" t="s">
        <v>424</v>
      </c>
      <c r="R22" s="232" t="s">
        <v>324</v>
      </c>
      <c r="S22" s="214">
        <v>45336</v>
      </c>
      <c r="T22" s="55" t="s">
        <v>342</v>
      </c>
      <c r="U22" s="221" t="s">
        <v>417</v>
      </c>
      <c r="V22" s="212" t="s">
        <v>307</v>
      </c>
    </row>
    <row r="23" spans="1:22" x14ac:dyDescent="0.3">
      <c r="A23" s="51">
        <v>21</v>
      </c>
      <c r="B23" s="146" t="s">
        <v>220</v>
      </c>
      <c r="C23" s="135" t="s">
        <v>184</v>
      </c>
      <c r="D23" s="134" t="s">
        <v>221</v>
      </c>
      <c r="E23" s="134" t="s">
        <v>108</v>
      </c>
      <c r="F23" s="149">
        <v>43128</v>
      </c>
      <c r="G23" s="130" t="s">
        <v>184</v>
      </c>
      <c r="H23" s="131">
        <v>2</v>
      </c>
      <c r="I23" s="152">
        <v>45303</v>
      </c>
      <c r="J23" s="132" t="s">
        <v>160</v>
      </c>
      <c r="K23" s="154">
        <f t="shared" si="0"/>
        <v>45458</v>
      </c>
      <c r="L23" s="142"/>
      <c r="M23" s="153">
        <f t="shared" si="1"/>
        <v>45768</v>
      </c>
      <c r="N23" s="155">
        <f t="shared" si="2"/>
        <v>45603</v>
      </c>
      <c r="O23" s="78">
        <f t="shared" si="3"/>
        <v>46048</v>
      </c>
      <c r="P23" s="229"/>
      <c r="Q23" s="139" t="s">
        <v>425</v>
      </c>
      <c r="R23" s="232" t="s">
        <v>325</v>
      </c>
      <c r="S23" s="214">
        <v>45361</v>
      </c>
      <c r="T23" s="55" t="s">
        <v>316</v>
      </c>
      <c r="U23" s="221" t="s">
        <v>417</v>
      </c>
      <c r="V23" s="212" t="s">
        <v>302</v>
      </c>
    </row>
    <row r="24" spans="1:22" x14ac:dyDescent="0.3">
      <c r="A24" s="51">
        <v>22</v>
      </c>
      <c r="B24" s="136" t="s">
        <v>218</v>
      </c>
      <c r="C24" s="133" t="s">
        <v>184</v>
      </c>
      <c r="D24" s="134" t="s">
        <v>219</v>
      </c>
      <c r="E24" s="134" t="s">
        <v>108</v>
      </c>
      <c r="F24" s="149">
        <v>42751</v>
      </c>
      <c r="G24" s="130" t="s">
        <v>184</v>
      </c>
      <c r="H24" s="131">
        <v>3</v>
      </c>
      <c r="I24" s="152">
        <v>45245</v>
      </c>
      <c r="J24" s="132" t="s">
        <v>157</v>
      </c>
      <c r="K24" s="154">
        <f t="shared" si="0"/>
        <v>45458</v>
      </c>
      <c r="L24" s="142">
        <v>1.5</v>
      </c>
      <c r="M24" s="153">
        <f t="shared" ref="M24:M31" si="4">(315-((L24*30)+5))+$L$1</f>
        <v>45723</v>
      </c>
      <c r="N24" s="155">
        <f t="shared" si="2"/>
        <v>45545</v>
      </c>
      <c r="O24" s="78">
        <f t="shared" si="3"/>
        <v>46003</v>
      </c>
      <c r="P24" s="229"/>
      <c r="Q24" s="139" t="s">
        <v>426</v>
      </c>
      <c r="R24" s="232" t="s">
        <v>327</v>
      </c>
      <c r="S24" s="214">
        <v>45328</v>
      </c>
      <c r="T24" s="55" t="s">
        <v>330</v>
      </c>
      <c r="U24" s="221" t="s">
        <v>417</v>
      </c>
      <c r="V24" s="212" t="s">
        <v>302</v>
      </c>
    </row>
    <row r="25" spans="1:22" x14ac:dyDescent="0.3">
      <c r="A25" s="51">
        <v>23</v>
      </c>
      <c r="B25" s="156" t="s">
        <v>217</v>
      </c>
      <c r="C25" s="127" t="s">
        <v>187</v>
      </c>
      <c r="D25" s="53" t="s">
        <v>213</v>
      </c>
      <c r="E25" s="53" t="s">
        <v>109</v>
      </c>
      <c r="F25" s="148">
        <v>42020</v>
      </c>
      <c r="G25" s="124" t="s">
        <v>222</v>
      </c>
      <c r="H25" s="64">
        <v>2</v>
      </c>
      <c r="I25" s="151">
        <v>44953</v>
      </c>
      <c r="J25" s="55" t="s">
        <v>157</v>
      </c>
      <c r="K25" s="154">
        <f t="shared" si="0"/>
        <v>45458</v>
      </c>
      <c r="L25" s="140">
        <v>8</v>
      </c>
      <c r="M25" s="153">
        <f t="shared" si="4"/>
        <v>45528</v>
      </c>
      <c r="N25" s="155">
        <f t="shared" si="2"/>
        <v>45253</v>
      </c>
      <c r="O25" s="78">
        <f t="shared" si="3"/>
        <v>45808</v>
      </c>
      <c r="P25" s="229"/>
      <c r="Q25" s="139" t="s">
        <v>427</v>
      </c>
      <c r="R25" s="232" t="s">
        <v>327</v>
      </c>
      <c r="S25" s="214">
        <v>45351</v>
      </c>
      <c r="T25" s="55" t="s">
        <v>330</v>
      </c>
      <c r="U25" s="221" t="s">
        <v>417</v>
      </c>
      <c r="V25" s="212" t="s">
        <v>302</v>
      </c>
    </row>
    <row r="26" spans="1:22" x14ac:dyDescent="0.3">
      <c r="A26" s="51">
        <v>24</v>
      </c>
      <c r="B26" s="156" t="s">
        <v>211</v>
      </c>
      <c r="C26" s="127" t="s">
        <v>187</v>
      </c>
      <c r="D26" s="53" t="s">
        <v>212</v>
      </c>
      <c r="E26" s="53" t="s">
        <v>109</v>
      </c>
      <c r="F26" s="148">
        <v>41719</v>
      </c>
      <c r="G26" s="124" t="s">
        <v>222</v>
      </c>
      <c r="H26" s="64">
        <v>1</v>
      </c>
      <c r="I26" s="151">
        <v>44970</v>
      </c>
      <c r="J26" s="55" t="s">
        <v>157</v>
      </c>
      <c r="K26" s="154">
        <f t="shared" si="0"/>
        <v>45458</v>
      </c>
      <c r="L26" s="140">
        <v>3</v>
      </c>
      <c r="M26" s="153">
        <f t="shared" si="4"/>
        <v>45678</v>
      </c>
      <c r="N26" s="155">
        <f t="shared" si="2"/>
        <v>45270</v>
      </c>
      <c r="O26" s="78">
        <f t="shared" si="3"/>
        <v>45958</v>
      </c>
      <c r="P26" s="229"/>
      <c r="Q26" s="139" t="s">
        <v>428</v>
      </c>
      <c r="R26" s="232" t="s">
        <v>327</v>
      </c>
      <c r="S26" s="214">
        <v>45356</v>
      </c>
      <c r="T26" s="55" t="s">
        <v>316</v>
      </c>
      <c r="U26" s="221" t="s">
        <v>417</v>
      </c>
      <c r="V26" s="212" t="s">
        <v>302</v>
      </c>
    </row>
    <row r="27" spans="1:22" x14ac:dyDescent="0.3">
      <c r="A27" s="51">
        <v>25</v>
      </c>
      <c r="B27" s="156" t="s">
        <v>209</v>
      </c>
      <c r="C27" s="127" t="s">
        <v>184</v>
      </c>
      <c r="D27" s="53" t="s">
        <v>210</v>
      </c>
      <c r="E27" s="53" t="s">
        <v>109</v>
      </c>
      <c r="F27" s="148">
        <v>40909</v>
      </c>
      <c r="G27" s="124" t="s">
        <v>222</v>
      </c>
      <c r="H27" s="64">
        <v>4</v>
      </c>
      <c r="I27" s="151">
        <v>44980</v>
      </c>
      <c r="J27" s="55" t="s">
        <v>157</v>
      </c>
      <c r="K27" s="154">
        <f t="shared" si="0"/>
        <v>45458</v>
      </c>
      <c r="L27" s="140">
        <v>3.5</v>
      </c>
      <c r="M27" s="153">
        <f t="shared" si="4"/>
        <v>45663</v>
      </c>
      <c r="N27" s="155">
        <f t="shared" si="2"/>
        <v>45280</v>
      </c>
      <c r="O27" s="78">
        <f>I27+280</f>
        <v>45260</v>
      </c>
      <c r="P27" s="229"/>
      <c r="Q27" s="139" t="s">
        <v>425</v>
      </c>
      <c r="R27" s="232" t="s">
        <v>327</v>
      </c>
      <c r="S27" s="214">
        <v>45361</v>
      </c>
      <c r="T27" s="55" t="s">
        <v>330</v>
      </c>
      <c r="U27" s="221" t="s">
        <v>417</v>
      </c>
      <c r="V27" s="212" t="s">
        <v>302</v>
      </c>
    </row>
    <row r="28" spans="1:22" x14ac:dyDescent="0.3">
      <c r="A28" s="51">
        <v>26</v>
      </c>
      <c r="B28" s="156" t="s">
        <v>208</v>
      </c>
      <c r="C28" s="127" t="s">
        <v>184</v>
      </c>
      <c r="D28" s="53" t="s">
        <v>34</v>
      </c>
      <c r="E28" s="53" t="s">
        <v>109</v>
      </c>
      <c r="F28" s="148">
        <v>42912</v>
      </c>
      <c r="G28" s="124" t="s">
        <v>222</v>
      </c>
      <c r="H28" s="64">
        <v>1</v>
      </c>
      <c r="I28" s="151">
        <v>44983</v>
      </c>
      <c r="J28" s="55" t="s">
        <v>157</v>
      </c>
      <c r="K28" s="154">
        <f t="shared" si="0"/>
        <v>45458</v>
      </c>
      <c r="L28" s="140">
        <v>6</v>
      </c>
      <c r="M28" s="153">
        <f t="shared" si="4"/>
        <v>45588</v>
      </c>
      <c r="N28" s="155">
        <f t="shared" si="2"/>
        <v>45283</v>
      </c>
      <c r="O28" s="78">
        <f t="shared" ref="O28:O48" si="5">I28+280</f>
        <v>45263</v>
      </c>
      <c r="P28" s="229"/>
      <c r="Q28" s="139" t="s">
        <v>429</v>
      </c>
      <c r="R28" s="232" t="s">
        <v>327</v>
      </c>
      <c r="S28" s="214">
        <v>45363</v>
      </c>
      <c r="T28" s="55" t="s">
        <v>316</v>
      </c>
      <c r="U28" s="221" t="s">
        <v>417</v>
      </c>
      <c r="V28" s="212" t="s">
        <v>302</v>
      </c>
    </row>
    <row r="29" spans="1:22" x14ac:dyDescent="0.3">
      <c r="A29" s="51">
        <v>27</v>
      </c>
      <c r="B29" s="156" t="s">
        <v>214</v>
      </c>
      <c r="C29" s="127" t="s">
        <v>215</v>
      </c>
      <c r="D29" s="53" t="s">
        <v>216</v>
      </c>
      <c r="E29" s="53" t="s">
        <v>109</v>
      </c>
      <c r="F29" s="148">
        <v>41459</v>
      </c>
      <c r="G29" s="124" t="s">
        <v>222</v>
      </c>
      <c r="H29" s="64">
        <v>5</v>
      </c>
      <c r="I29" s="151">
        <v>44983</v>
      </c>
      <c r="J29" s="55" t="s">
        <v>157</v>
      </c>
      <c r="K29" s="154">
        <f t="shared" si="0"/>
        <v>45458</v>
      </c>
      <c r="L29" s="140">
        <v>3.5</v>
      </c>
      <c r="M29" s="153">
        <f t="shared" si="4"/>
        <v>45663</v>
      </c>
      <c r="N29" s="155">
        <f t="shared" si="2"/>
        <v>45283</v>
      </c>
      <c r="O29" s="78">
        <f t="shared" si="5"/>
        <v>45263</v>
      </c>
      <c r="P29" s="229"/>
      <c r="Q29" s="139" t="s">
        <v>429</v>
      </c>
      <c r="R29" s="232" t="s">
        <v>327</v>
      </c>
      <c r="S29" s="214">
        <v>45363</v>
      </c>
      <c r="T29" s="55" t="s">
        <v>330</v>
      </c>
      <c r="U29" s="221" t="s">
        <v>417</v>
      </c>
      <c r="V29" s="212" t="s">
        <v>302</v>
      </c>
    </row>
    <row r="30" spans="1:22" x14ac:dyDescent="0.3">
      <c r="A30" s="51">
        <v>28</v>
      </c>
      <c r="B30" s="156" t="s">
        <v>206</v>
      </c>
      <c r="C30" s="127" t="s">
        <v>184</v>
      </c>
      <c r="D30" s="53" t="s">
        <v>207</v>
      </c>
      <c r="E30" s="53" t="s">
        <v>108</v>
      </c>
      <c r="F30" s="148">
        <v>40544</v>
      </c>
      <c r="G30" s="124" t="s">
        <v>222</v>
      </c>
      <c r="H30" s="64">
        <v>5</v>
      </c>
      <c r="I30" s="151">
        <v>44984</v>
      </c>
      <c r="J30" s="55" t="s">
        <v>157</v>
      </c>
      <c r="K30" s="154">
        <f t="shared" si="0"/>
        <v>45458</v>
      </c>
      <c r="L30" s="140">
        <v>3.5</v>
      </c>
      <c r="M30" s="153">
        <f t="shared" si="4"/>
        <v>45663</v>
      </c>
      <c r="N30" s="155">
        <f t="shared" si="2"/>
        <v>45284</v>
      </c>
      <c r="O30" s="78">
        <f t="shared" si="5"/>
        <v>45264</v>
      </c>
      <c r="P30" s="229"/>
      <c r="Q30" s="139" t="s">
        <v>430</v>
      </c>
      <c r="R30" s="232" t="s">
        <v>327</v>
      </c>
      <c r="S30" s="206">
        <v>45364</v>
      </c>
      <c r="T30" s="55" t="s">
        <v>316</v>
      </c>
      <c r="U30" s="221" t="s">
        <v>417</v>
      </c>
      <c r="V30" s="212" t="s">
        <v>302</v>
      </c>
    </row>
    <row r="31" spans="1:22" x14ac:dyDescent="0.3">
      <c r="A31" s="51">
        <v>29</v>
      </c>
      <c r="B31" s="156" t="s">
        <v>204</v>
      </c>
      <c r="C31" s="127" t="s">
        <v>184</v>
      </c>
      <c r="D31" s="53" t="s">
        <v>194</v>
      </c>
      <c r="E31" s="53" t="s">
        <v>108</v>
      </c>
      <c r="F31" s="148">
        <v>43112</v>
      </c>
      <c r="G31" s="124" t="s">
        <v>184</v>
      </c>
      <c r="H31" s="64">
        <v>1</v>
      </c>
      <c r="I31" s="151">
        <v>44990</v>
      </c>
      <c r="J31" s="55" t="s">
        <v>157</v>
      </c>
      <c r="K31" s="154">
        <f t="shared" si="0"/>
        <v>45458</v>
      </c>
      <c r="L31" s="140">
        <v>3.5</v>
      </c>
      <c r="M31" s="153">
        <f t="shared" si="4"/>
        <v>45663</v>
      </c>
      <c r="N31" s="155">
        <f t="shared" si="2"/>
        <v>45290</v>
      </c>
      <c r="O31" s="78">
        <f t="shared" si="5"/>
        <v>45270</v>
      </c>
      <c r="P31" s="229"/>
      <c r="Q31" s="214">
        <v>44990</v>
      </c>
      <c r="R31" s="232" t="s">
        <v>157</v>
      </c>
      <c r="S31" s="214">
        <v>45458</v>
      </c>
      <c r="T31" s="55" t="s">
        <v>316</v>
      </c>
      <c r="U31" s="221" t="s">
        <v>417</v>
      </c>
      <c r="V31" s="212" t="s">
        <v>302</v>
      </c>
    </row>
    <row r="32" spans="1:22" x14ac:dyDescent="0.3">
      <c r="A32" s="51">
        <v>30</v>
      </c>
      <c r="B32" s="156" t="s">
        <v>31</v>
      </c>
      <c r="C32" s="127" t="s">
        <v>187</v>
      </c>
      <c r="D32" s="53" t="s">
        <v>205</v>
      </c>
      <c r="E32" s="53" t="s">
        <v>109</v>
      </c>
      <c r="F32" s="148">
        <v>39094</v>
      </c>
      <c r="G32" s="124" t="s">
        <v>222</v>
      </c>
      <c r="H32" s="64">
        <v>5</v>
      </c>
      <c r="I32" s="151">
        <v>44990</v>
      </c>
      <c r="J32" s="55" t="s">
        <v>160</v>
      </c>
      <c r="K32" s="154">
        <f t="shared" si="0"/>
        <v>45458</v>
      </c>
      <c r="L32" s="140"/>
      <c r="M32" s="153">
        <f>(315-((L32*30)+5))+$L$1</f>
        <v>45768</v>
      </c>
      <c r="N32" s="155">
        <f t="shared" si="2"/>
        <v>45290</v>
      </c>
      <c r="O32" s="78">
        <f t="shared" si="5"/>
        <v>45270</v>
      </c>
      <c r="P32" s="229"/>
      <c r="Q32" s="214">
        <v>44990</v>
      </c>
      <c r="R32" s="232" t="s">
        <v>160</v>
      </c>
      <c r="S32" s="206">
        <v>45397</v>
      </c>
      <c r="T32" s="55" t="s">
        <v>342</v>
      </c>
      <c r="U32" s="221" t="s">
        <v>431</v>
      </c>
      <c r="V32" s="212" t="s">
        <v>307</v>
      </c>
    </row>
    <row r="33" spans="1:22" x14ac:dyDescent="0.3">
      <c r="A33" s="51">
        <v>31</v>
      </c>
      <c r="B33" s="156" t="s">
        <v>202</v>
      </c>
      <c r="C33" s="127" t="s">
        <v>184</v>
      </c>
      <c r="D33" s="53" t="s">
        <v>203</v>
      </c>
      <c r="E33" s="53" t="s">
        <v>108</v>
      </c>
      <c r="F33" s="148">
        <v>42741</v>
      </c>
      <c r="G33" s="124" t="s">
        <v>222</v>
      </c>
      <c r="H33" s="64">
        <v>1</v>
      </c>
      <c r="I33" s="151">
        <v>44993</v>
      </c>
      <c r="J33" s="55" t="s">
        <v>157</v>
      </c>
      <c r="K33" s="154">
        <f t="shared" si="0"/>
        <v>45458</v>
      </c>
      <c r="L33" s="140">
        <v>3.5</v>
      </c>
      <c r="M33" s="153">
        <f t="shared" ref="M33:M48" si="6">(315-((L33*30)+5))+$L$1</f>
        <v>45663</v>
      </c>
      <c r="N33" s="155">
        <f t="shared" si="2"/>
        <v>45293</v>
      </c>
      <c r="O33" s="78">
        <f t="shared" si="5"/>
        <v>45273</v>
      </c>
      <c r="P33" s="229"/>
      <c r="Q33" s="214">
        <v>44993</v>
      </c>
      <c r="R33" s="232" t="s">
        <v>157</v>
      </c>
      <c r="S33" s="214">
        <v>45458</v>
      </c>
      <c r="T33" s="55" t="s">
        <v>316</v>
      </c>
      <c r="U33" s="221" t="s">
        <v>417</v>
      </c>
      <c r="V33" s="212" t="s">
        <v>302</v>
      </c>
    </row>
    <row r="34" spans="1:22" x14ac:dyDescent="0.3">
      <c r="A34" s="51">
        <v>32</v>
      </c>
      <c r="B34" s="156" t="s">
        <v>19</v>
      </c>
      <c r="C34" s="127" t="s">
        <v>187</v>
      </c>
      <c r="D34" s="53" t="s">
        <v>201</v>
      </c>
      <c r="E34" s="129" t="s">
        <v>109</v>
      </c>
      <c r="F34" s="148">
        <v>41010</v>
      </c>
      <c r="G34" s="124" t="s">
        <v>222</v>
      </c>
      <c r="H34" s="64">
        <v>5</v>
      </c>
      <c r="I34" s="151">
        <v>45000</v>
      </c>
      <c r="J34" s="55" t="s">
        <v>157</v>
      </c>
      <c r="K34" s="154">
        <f t="shared" si="0"/>
        <v>45458</v>
      </c>
      <c r="L34" s="140">
        <v>3</v>
      </c>
      <c r="M34" s="153">
        <f t="shared" si="6"/>
        <v>45678</v>
      </c>
      <c r="N34" s="155">
        <f t="shared" si="2"/>
        <v>45300</v>
      </c>
      <c r="O34" s="78">
        <f t="shared" si="5"/>
        <v>45280</v>
      </c>
      <c r="P34" s="229"/>
      <c r="Q34" s="213">
        <v>45000</v>
      </c>
      <c r="R34" s="232" t="s">
        <v>157</v>
      </c>
      <c r="S34" s="206">
        <v>45366</v>
      </c>
      <c r="T34" s="55" t="s">
        <v>316</v>
      </c>
      <c r="U34" s="221" t="s">
        <v>417</v>
      </c>
      <c r="V34" s="212" t="s">
        <v>302</v>
      </c>
    </row>
    <row r="35" spans="1:22" x14ac:dyDescent="0.3">
      <c r="A35" s="51">
        <v>33</v>
      </c>
      <c r="B35" s="156" t="s">
        <v>199</v>
      </c>
      <c r="C35" s="127" t="s">
        <v>184</v>
      </c>
      <c r="D35" s="53" t="s">
        <v>200</v>
      </c>
      <c r="E35" s="53" t="s">
        <v>108</v>
      </c>
      <c r="F35" s="148">
        <v>43139</v>
      </c>
      <c r="G35" s="124" t="s">
        <v>222</v>
      </c>
      <c r="H35" s="64">
        <v>1</v>
      </c>
      <c r="I35" s="151">
        <v>45001</v>
      </c>
      <c r="J35" s="55" t="s">
        <v>157</v>
      </c>
      <c r="K35" s="154">
        <f t="shared" si="0"/>
        <v>45458</v>
      </c>
      <c r="L35" s="140">
        <v>3.5</v>
      </c>
      <c r="M35" s="153">
        <f t="shared" si="6"/>
        <v>45663</v>
      </c>
      <c r="N35" s="155">
        <f t="shared" si="2"/>
        <v>45301</v>
      </c>
      <c r="O35" s="78">
        <f t="shared" si="5"/>
        <v>45281</v>
      </c>
      <c r="P35" s="229"/>
      <c r="Q35" s="234">
        <v>45001</v>
      </c>
      <c r="R35" s="232" t="s">
        <v>157</v>
      </c>
      <c r="S35" s="214">
        <v>45458</v>
      </c>
      <c r="T35" s="55" t="s">
        <v>316</v>
      </c>
      <c r="U35" s="221" t="s">
        <v>265</v>
      </c>
      <c r="V35" s="212" t="s">
        <v>302</v>
      </c>
    </row>
    <row r="36" spans="1:22" x14ac:dyDescent="0.3">
      <c r="A36" s="51">
        <v>34</v>
      </c>
      <c r="B36" s="156" t="s">
        <v>196</v>
      </c>
      <c r="C36" s="127" t="s">
        <v>184</v>
      </c>
      <c r="D36" s="53" t="s">
        <v>197</v>
      </c>
      <c r="E36" s="53" t="s">
        <v>108</v>
      </c>
      <c r="F36" s="148">
        <v>42748</v>
      </c>
      <c r="G36" s="124" t="s">
        <v>222</v>
      </c>
      <c r="H36" s="64">
        <v>1</v>
      </c>
      <c r="I36" s="151">
        <v>45003</v>
      </c>
      <c r="J36" s="55" t="s">
        <v>157</v>
      </c>
      <c r="K36" s="154">
        <f t="shared" si="0"/>
        <v>45458</v>
      </c>
      <c r="L36" s="140">
        <v>3</v>
      </c>
      <c r="M36" s="153">
        <f t="shared" si="6"/>
        <v>45678</v>
      </c>
      <c r="N36" s="155">
        <f t="shared" si="2"/>
        <v>45303</v>
      </c>
      <c r="O36" s="78">
        <f t="shared" si="5"/>
        <v>45283</v>
      </c>
      <c r="P36" s="229"/>
      <c r="Q36" s="214">
        <v>45003</v>
      </c>
      <c r="R36" s="232" t="s">
        <v>157</v>
      </c>
      <c r="S36" s="206">
        <v>45458</v>
      </c>
      <c r="T36" s="55" t="s">
        <v>316</v>
      </c>
      <c r="U36" s="221" t="s">
        <v>417</v>
      </c>
      <c r="V36" s="212" t="s">
        <v>302</v>
      </c>
    </row>
    <row r="37" spans="1:22" x14ac:dyDescent="0.3">
      <c r="A37" s="51">
        <v>35</v>
      </c>
      <c r="B37" s="156" t="s">
        <v>193</v>
      </c>
      <c r="C37" s="127" t="s">
        <v>184</v>
      </c>
      <c r="D37" s="53" t="s">
        <v>195</v>
      </c>
      <c r="E37" s="53" t="s">
        <v>108</v>
      </c>
      <c r="F37" s="148">
        <v>43099</v>
      </c>
      <c r="G37" s="124" t="s">
        <v>222</v>
      </c>
      <c r="H37" s="64">
        <v>1</v>
      </c>
      <c r="I37" s="151">
        <v>45009</v>
      </c>
      <c r="J37" s="55" t="s">
        <v>157</v>
      </c>
      <c r="K37" s="154">
        <f t="shared" si="0"/>
        <v>45458</v>
      </c>
      <c r="L37" s="140">
        <v>1.5</v>
      </c>
      <c r="M37" s="153">
        <f t="shared" si="6"/>
        <v>45723</v>
      </c>
      <c r="N37" s="155">
        <f t="shared" si="2"/>
        <v>45309</v>
      </c>
      <c r="O37" s="78">
        <f t="shared" si="5"/>
        <v>45289</v>
      </c>
      <c r="P37" s="229"/>
      <c r="Q37" s="214">
        <v>45009</v>
      </c>
      <c r="R37" s="232" t="s">
        <v>157</v>
      </c>
      <c r="S37" s="214">
        <v>45458</v>
      </c>
      <c r="T37" s="55" t="s">
        <v>330</v>
      </c>
      <c r="U37" s="221" t="s">
        <v>417</v>
      </c>
      <c r="V37" s="212" t="s">
        <v>302</v>
      </c>
    </row>
    <row r="38" spans="1:22" x14ac:dyDescent="0.3">
      <c r="A38" s="51">
        <v>36</v>
      </c>
      <c r="B38" s="156" t="s">
        <v>191</v>
      </c>
      <c r="C38" s="127" t="s">
        <v>184</v>
      </c>
      <c r="D38" s="53" t="s">
        <v>192</v>
      </c>
      <c r="E38" s="53" t="s">
        <v>108</v>
      </c>
      <c r="F38" s="148">
        <v>43140</v>
      </c>
      <c r="G38" s="124" t="s">
        <v>222</v>
      </c>
      <c r="H38" s="64">
        <v>1</v>
      </c>
      <c r="I38" s="151">
        <v>45012</v>
      </c>
      <c r="J38" s="55" t="s">
        <v>157</v>
      </c>
      <c r="K38" s="154">
        <f t="shared" si="0"/>
        <v>45458</v>
      </c>
      <c r="L38" s="140">
        <v>3.5</v>
      </c>
      <c r="M38" s="153">
        <f t="shared" si="6"/>
        <v>45663</v>
      </c>
      <c r="N38" s="155">
        <f t="shared" si="2"/>
        <v>45312</v>
      </c>
      <c r="O38" s="78">
        <f t="shared" si="5"/>
        <v>45292</v>
      </c>
      <c r="P38" s="229"/>
      <c r="Q38" s="213">
        <v>45012</v>
      </c>
      <c r="R38" s="232" t="s">
        <v>157</v>
      </c>
      <c r="S38" s="206">
        <v>45458</v>
      </c>
      <c r="T38" s="55" t="s">
        <v>316</v>
      </c>
      <c r="U38" s="221" t="s">
        <v>417</v>
      </c>
      <c r="V38" s="212" t="s">
        <v>302</v>
      </c>
    </row>
    <row r="39" spans="1:22" x14ac:dyDescent="0.3">
      <c r="A39" s="51">
        <v>37</v>
      </c>
      <c r="B39" s="156" t="s">
        <v>188</v>
      </c>
      <c r="C39" s="127" t="s">
        <v>184</v>
      </c>
      <c r="D39" s="53" t="s">
        <v>190</v>
      </c>
      <c r="E39" s="53" t="s">
        <v>108</v>
      </c>
      <c r="F39" s="148">
        <v>43141</v>
      </c>
      <c r="G39" s="124" t="s">
        <v>222</v>
      </c>
      <c r="H39" s="64">
        <v>1</v>
      </c>
      <c r="I39" s="151">
        <v>45013</v>
      </c>
      <c r="J39" s="55" t="s">
        <v>157</v>
      </c>
      <c r="K39" s="154">
        <f t="shared" si="0"/>
        <v>45458</v>
      </c>
      <c r="L39" s="140">
        <v>4</v>
      </c>
      <c r="M39" s="153">
        <f t="shared" si="6"/>
        <v>45648</v>
      </c>
      <c r="N39" s="155">
        <f t="shared" si="2"/>
        <v>45313</v>
      </c>
      <c r="O39" s="78">
        <f t="shared" si="5"/>
        <v>45293</v>
      </c>
      <c r="P39" s="229"/>
      <c r="Q39" s="234">
        <v>45013</v>
      </c>
      <c r="R39" s="232" t="s">
        <v>157</v>
      </c>
      <c r="S39" s="214">
        <v>45458</v>
      </c>
      <c r="T39" s="55" t="s">
        <v>334</v>
      </c>
      <c r="U39" s="221" t="s">
        <v>256</v>
      </c>
      <c r="V39" s="212" t="s">
        <v>307</v>
      </c>
    </row>
    <row r="40" spans="1:22" x14ac:dyDescent="0.3">
      <c r="A40" s="51">
        <v>38</v>
      </c>
      <c r="B40" s="156" t="s">
        <v>180</v>
      </c>
      <c r="C40" s="127" t="s">
        <v>187</v>
      </c>
      <c r="D40" s="53" t="s">
        <v>161</v>
      </c>
      <c r="E40" s="53" t="s">
        <v>109</v>
      </c>
      <c r="F40" s="148">
        <v>41761</v>
      </c>
      <c r="G40" s="124" t="s">
        <v>222</v>
      </c>
      <c r="H40" s="64">
        <v>3</v>
      </c>
      <c r="I40" s="151">
        <v>45023</v>
      </c>
      <c r="J40" s="55" t="s">
        <v>157</v>
      </c>
      <c r="K40" s="154">
        <f t="shared" si="0"/>
        <v>45458</v>
      </c>
      <c r="L40" s="140">
        <v>4</v>
      </c>
      <c r="M40" s="153">
        <f t="shared" si="6"/>
        <v>45648</v>
      </c>
      <c r="N40" s="155">
        <f t="shared" si="2"/>
        <v>45323</v>
      </c>
      <c r="O40" s="78">
        <f t="shared" si="5"/>
        <v>45303</v>
      </c>
      <c r="P40" s="229"/>
      <c r="Q40" s="214">
        <v>45023</v>
      </c>
      <c r="R40" s="232" t="s">
        <v>157</v>
      </c>
      <c r="S40" s="206">
        <v>45519</v>
      </c>
      <c r="T40" s="55" t="s">
        <v>330</v>
      </c>
      <c r="U40" s="221" t="s">
        <v>417</v>
      </c>
      <c r="V40" s="212" t="s">
        <v>307</v>
      </c>
    </row>
    <row r="41" spans="1:22" x14ac:dyDescent="0.3">
      <c r="A41" s="51">
        <v>39</v>
      </c>
      <c r="B41" s="156" t="s">
        <v>29</v>
      </c>
      <c r="C41" s="127" t="s">
        <v>187</v>
      </c>
      <c r="D41" s="53" t="s">
        <v>30</v>
      </c>
      <c r="E41" s="53" t="s">
        <v>109</v>
      </c>
      <c r="F41" s="148">
        <v>41255</v>
      </c>
      <c r="G41" s="124" t="s">
        <v>222</v>
      </c>
      <c r="H41" s="64">
        <v>4</v>
      </c>
      <c r="I41" s="151">
        <v>45034</v>
      </c>
      <c r="J41" s="55" t="s">
        <v>157</v>
      </c>
      <c r="K41" s="154">
        <f t="shared" si="0"/>
        <v>45458</v>
      </c>
      <c r="L41" s="140">
        <v>4.5</v>
      </c>
      <c r="M41" s="153">
        <f t="shared" si="6"/>
        <v>45633</v>
      </c>
      <c r="N41" s="155">
        <f t="shared" si="2"/>
        <v>45334</v>
      </c>
      <c r="O41" s="78">
        <f t="shared" si="5"/>
        <v>45314</v>
      </c>
      <c r="P41" s="229"/>
      <c r="Q41" s="214">
        <v>45034</v>
      </c>
      <c r="R41" s="232" t="s">
        <v>157</v>
      </c>
      <c r="S41" s="214">
        <v>45519</v>
      </c>
      <c r="T41" s="55" t="s">
        <v>316</v>
      </c>
      <c r="U41" s="221" t="s">
        <v>256</v>
      </c>
      <c r="V41" s="212" t="s">
        <v>302</v>
      </c>
    </row>
    <row r="42" spans="1:22" x14ac:dyDescent="0.3">
      <c r="A42" s="51">
        <v>40</v>
      </c>
      <c r="B42" s="156" t="s">
        <v>185</v>
      </c>
      <c r="C42" s="127" t="s">
        <v>187</v>
      </c>
      <c r="D42" s="53" t="s">
        <v>250</v>
      </c>
      <c r="E42" s="53" t="s">
        <v>109</v>
      </c>
      <c r="F42" s="148">
        <v>43166</v>
      </c>
      <c r="G42" s="124" t="s">
        <v>222</v>
      </c>
      <c r="H42" s="64">
        <v>1</v>
      </c>
      <c r="I42" s="151">
        <v>45034</v>
      </c>
      <c r="J42" s="55" t="s">
        <v>157</v>
      </c>
      <c r="K42" s="154">
        <f t="shared" si="0"/>
        <v>45458</v>
      </c>
      <c r="L42" s="140">
        <v>1.5</v>
      </c>
      <c r="M42" s="153">
        <f t="shared" si="6"/>
        <v>45723</v>
      </c>
      <c r="N42" s="155">
        <f t="shared" si="2"/>
        <v>45334</v>
      </c>
      <c r="O42" s="78">
        <f t="shared" si="5"/>
        <v>45314</v>
      </c>
      <c r="P42" s="229"/>
      <c r="Q42" s="234">
        <v>45034</v>
      </c>
      <c r="R42" s="232" t="s">
        <v>157</v>
      </c>
      <c r="S42" s="206">
        <v>45458</v>
      </c>
      <c r="T42" s="55" t="s">
        <v>330</v>
      </c>
      <c r="U42" s="221" t="s">
        <v>417</v>
      </c>
      <c r="V42" s="212" t="s">
        <v>302</v>
      </c>
    </row>
    <row r="43" spans="1:22" x14ac:dyDescent="0.3">
      <c r="A43" s="51">
        <v>41</v>
      </c>
      <c r="B43" s="146" t="s">
        <v>83</v>
      </c>
      <c r="C43" s="135" t="s">
        <v>187</v>
      </c>
      <c r="D43" s="134" t="s">
        <v>84</v>
      </c>
      <c r="E43" s="134" t="s">
        <v>108</v>
      </c>
      <c r="F43" s="149">
        <v>41246</v>
      </c>
      <c r="G43" s="130" t="s">
        <v>222</v>
      </c>
      <c r="H43" s="131">
        <v>5</v>
      </c>
      <c r="I43" s="152">
        <v>45052</v>
      </c>
      <c r="J43" s="132" t="s">
        <v>157</v>
      </c>
      <c r="K43" s="154">
        <f t="shared" si="0"/>
        <v>45458</v>
      </c>
      <c r="L43" s="140">
        <v>2.5</v>
      </c>
      <c r="M43" s="153">
        <f t="shared" si="6"/>
        <v>45693</v>
      </c>
      <c r="N43" s="155">
        <f t="shared" si="2"/>
        <v>45352</v>
      </c>
      <c r="O43" s="78">
        <f t="shared" si="5"/>
        <v>45332</v>
      </c>
      <c r="P43" s="229"/>
      <c r="Q43" s="214">
        <v>45052</v>
      </c>
      <c r="R43" s="232" t="s">
        <v>157</v>
      </c>
      <c r="S43" s="214">
        <v>45458</v>
      </c>
      <c r="T43" s="55" t="s">
        <v>330</v>
      </c>
      <c r="U43" s="221" t="s">
        <v>417</v>
      </c>
      <c r="V43" s="212" t="s">
        <v>302</v>
      </c>
    </row>
    <row r="44" spans="1:22" x14ac:dyDescent="0.3">
      <c r="A44" s="51">
        <v>42</v>
      </c>
      <c r="B44" s="146" t="s">
        <v>248</v>
      </c>
      <c r="C44" s="135" t="s">
        <v>184</v>
      </c>
      <c r="D44" s="134" t="s">
        <v>249</v>
      </c>
      <c r="E44" s="134" t="s">
        <v>108</v>
      </c>
      <c r="F44" s="149">
        <v>42739</v>
      </c>
      <c r="G44" s="130" t="s">
        <v>222</v>
      </c>
      <c r="H44" s="131">
        <v>1</v>
      </c>
      <c r="I44" s="152">
        <v>45066</v>
      </c>
      <c r="J44" s="132" t="s">
        <v>157</v>
      </c>
      <c r="K44" s="154">
        <f t="shared" si="0"/>
        <v>45458</v>
      </c>
      <c r="L44" s="140">
        <v>5</v>
      </c>
      <c r="M44" s="153">
        <f t="shared" si="6"/>
        <v>45618</v>
      </c>
      <c r="N44" s="155">
        <f t="shared" si="2"/>
        <v>45366</v>
      </c>
      <c r="O44" s="78">
        <f t="shared" si="5"/>
        <v>45346</v>
      </c>
      <c r="P44" s="229"/>
      <c r="Q44" s="234">
        <v>45066</v>
      </c>
      <c r="R44" s="232" t="s">
        <v>157</v>
      </c>
      <c r="S44" s="206">
        <v>45458</v>
      </c>
      <c r="T44" s="55" t="s">
        <v>330</v>
      </c>
      <c r="U44" s="221" t="s">
        <v>417</v>
      </c>
      <c r="V44" s="212" t="s">
        <v>302</v>
      </c>
    </row>
    <row r="45" spans="1:22" x14ac:dyDescent="0.3">
      <c r="A45" s="51">
        <v>43</v>
      </c>
      <c r="B45" s="146" t="s">
        <v>263</v>
      </c>
      <c r="C45" s="135" t="s">
        <v>184</v>
      </c>
      <c r="D45" s="134" t="s">
        <v>264</v>
      </c>
      <c r="E45" s="134" t="s">
        <v>109</v>
      </c>
      <c r="F45" s="149">
        <v>43118</v>
      </c>
      <c r="G45" s="130" t="s">
        <v>222</v>
      </c>
      <c r="H45" s="131">
        <v>2</v>
      </c>
      <c r="I45" s="152">
        <v>45069</v>
      </c>
      <c r="J45" s="132" t="s">
        <v>157</v>
      </c>
      <c r="K45" s="154">
        <f t="shared" si="0"/>
        <v>45458</v>
      </c>
      <c r="L45" s="158">
        <v>3</v>
      </c>
      <c r="M45" s="153">
        <f t="shared" si="6"/>
        <v>45678</v>
      </c>
      <c r="N45" s="155">
        <f t="shared" si="2"/>
        <v>45369</v>
      </c>
      <c r="O45" s="78">
        <f t="shared" si="5"/>
        <v>45349</v>
      </c>
      <c r="P45" s="229"/>
      <c r="Q45" s="214">
        <v>45069</v>
      </c>
      <c r="R45" s="232" t="s">
        <v>157</v>
      </c>
      <c r="S45" s="214">
        <v>45458</v>
      </c>
      <c r="T45" s="55" t="s">
        <v>316</v>
      </c>
      <c r="U45" s="221" t="s">
        <v>256</v>
      </c>
      <c r="V45" s="212" t="s">
        <v>302</v>
      </c>
    </row>
    <row r="46" spans="1:22" x14ac:dyDescent="0.3">
      <c r="A46" s="51">
        <v>44</v>
      </c>
      <c r="B46" s="146" t="s">
        <v>262</v>
      </c>
      <c r="C46" s="135" t="s">
        <v>184</v>
      </c>
      <c r="D46" s="134">
        <v>38</v>
      </c>
      <c r="E46" s="134" t="s">
        <v>109</v>
      </c>
      <c r="F46" s="149">
        <v>40461</v>
      </c>
      <c r="G46" s="130" t="s">
        <v>222</v>
      </c>
      <c r="H46" s="131">
        <v>5</v>
      </c>
      <c r="I46" s="152">
        <v>45070</v>
      </c>
      <c r="J46" s="132" t="s">
        <v>157</v>
      </c>
      <c r="K46" s="154">
        <f t="shared" si="0"/>
        <v>45458</v>
      </c>
      <c r="L46" s="158">
        <v>5</v>
      </c>
      <c r="M46" s="153">
        <f t="shared" si="6"/>
        <v>45618</v>
      </c>
      <c r="N46" s="155">
        <f t="shared" si="2"/>
        <v>45370</v>
      </c>
      <c r="O46" s="78">
        <f t="shared" si="5"/>
        <v>45350</v>
      </c>
      <c r="P46" s="229"/>
      <c r="Q46" s="214">
        <v>45070</v>
      </c>
      <c r="R46" s="232" t="s">
        <v>157</v>
      </c>
      <c r="S46" s="206">
        <v>45366</v>
      </c>
      <c r="T46" s="55" t="s">
        <v>316</v>
      </c>
      <c r="U46" s="221" t="s">
        <v>417</v>
      </c>
      <c r="V46" s="212" t="s">
        <v>307</v>
      </c>
    </row>
    <row r="47" spans="1:22" x14ac:dyDescent="0.3">
      <c r="A47" s="51">
        <v>45</v>
      </c>
      <c r="B47" s="146" t="s">
        <v>251</v>
      </c>
      <c r="C47" s="135" t="s">
        <v>187</v>
      </c>
      <c r="D47" s="134" t="s">
        <v>70</v>
      </c>
      <c r="E47" s="134" t="s">
        <v>109</v>
      </c>
      <c r="F47" s="149">
        <v>41465</v>
      </c>
      <c r="G47" s="130" t="s">
        <v>222</v>
      </c>
      <c r="H47" s="131">
        <v>4</v>
      </c>
      <c r="I47" s="152">
        <v>45075</v>
      </c>
      <c r="J47" s="132" t="s">
        <v>157</v>
      </c>
      <c r="K47" s="154">
        <f t="shared" si="0"/>
        <v>45458</v>
      </c>
      <c r="L47" s="158">
        <v>3</v>
      </c>
      <c r="M47" s="153">
        <f t="shared" si="6"/>
        <v>45678</v>
      </c>
      <c r="N47" s="155">
        <f t="shared" si="2"/>
        <v>45375</v>
      </c>
      <c r="O47" s="139">
        <f t="shared" si="5"/>
        <v>45355</v>
      </c>
      <c r="P47" s="228"/>
      <c r="Q47" s="234">
        <v>45075</v>
      </c>
      <c r="R47" s="232" t="s">
        <v>157</v>
      </c>
      <c r="S47" s="214">
        <v>45550</v>
      </c>
      <c r="T47" s="139" t="s">
        <v>316</v>
      </c>
      <c r="U47" s="221" t="s">
        <v>417</v>
      </c>
      <c r="V47" s="225" t="s">
        <v>302</v>
      </c>
    </row>
    <row r="48" spans="1:22" x14ac:dyDescent="0.3">
      <c r="A48" s="51">
        <v>46</v>
      </c>
      <c r="B48" s="156" t="s">
        <v>189</v>
      </c>
      <c r="C48" s="127" t="s">
        <v>184</v>
      </c>
      <c r="D48" s="53" t="s">
        <v>183</v>
      </c>
      <c r="E48" s="53" t="s">
        <v>109</v>
      </c>
      <c r="F48" s="148">
        <v>43142</v>
      </c>
      <c r="G48" s="124" t="s">
        <v>222</v>
      </c>
      <c r="H48" s="64">
        <v>1</v>
      </c>
      <c r="I48" s="151">
        <v>45076</v>
      </c>
      <c r="J48" s="55" t="s">
        <v>157</v>
      </c>
      <c r="K48" s="154">
        <f t="shared" si="0"/>
        <v>45458</v>
      </c>
      <c r="L48" s="140">
        <v>4.5</v>
      </c>
      <c r="M48" s="153">
        <f t="shared" si="6"/>
        <v>45633</v>
      </c>
      <c r="N48" s="155">
        <f t="shared" si="2"/>
        <v>45376</v>
      </c>
      <c r="O48" s="139">
        <f t="shared" si="5"/>
        <v>45356</v>
      </c>
      <c r="P48" s="228"/>
      <c r="Q48" s="214">
        <v>45076</v>
      </c>
      <c r="R48" s="232" t="s">
        <v>157</v>
      </c>
      <c r="S48" s="206">
        <v>45458</v>
      </c>
      <c r="T48" s="139" t="s">
        <v>342</v>
      </c>
      <c r="U48" s="221" t="s">
        <v>417</v>
      </c>
      <c r="V48" s="225" t="s">
        <v>302</v>
      </c>
    </row>
    <row r="49" spans="1:22" x14ac:dyDescent="0.3">
      <c r="A49" s="51">
        <v>51</v>
      </c>
      <c r="B49" s="156" t="s">
        <v>273</v>
      </c>
      <c r="C49" s="127" t="s">
        <v>274</v>
      </c>
      <c r="D49" s="53" t="s">
        <v>275</v>
      </c>
      <c r="E49" s="53" t="s">
        <v>109</v>
      </c>
      <c r="F49" s="148">
        <v>43171</v>
      </c>
      <c r="G49" s="124" t="s">
        <v>184</v>
      </c>
      <c r="H49" s="64">
        <v>2</v>
      </c>
      <c r="I49" s="151">
        <v>45261</v>
      </c>
      <c r="J49" s="55" t="s">
        <v>157</v>
      </c>
      <c r="K49" s="154">
        <f t="shared" si="0"/>
        <v>45458</v>
      </c>
      <c r="L49" s="140">
        <v>2</v>
      </c>
      <c r="M49" s="153">
        <f>(315-((L49*30)+5))+$L$1</f>
        <v>45708</v>
      </c>
      <c r="N49" s="155">
        <f t="shared" si="2"/>
        <v>45561</v>
      </c>
      <c r="O49" s="139"/>
      <c r="P49" s="228"/>
      <c r="Q49" s="214">
        <v>45261</v>
      </c>
      <c r="R49" s="232" t="s">
        <v>157</v>
      </c>
      <c r="S49" s="214">
        <v>45458</v>
      </c>
      <c r="T49" s="139" t="s">
        <v>342</v>
      </c>
      <c r="U49" s="221" t="s">
        <v>417</v>
      </c>
      <c r="V49" s="225" t="s">
        <v>302</v>
      </c>
    </row>
  </sheetData>
  <autoFilter ref="A2:O49" xr:uid="{00000000-0009-0000-0000-00000B000000}">
    <sortState xmlns:xlrd2="http://schemas.microsoft.com/office/spreadsheetml/2017/richdata2" ref="A3:O44">
      <sortCondition ref="M2"/>
    </sortState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Q49"/>
  <sheetViews>
    <sheetView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2" max="2" width="9.109375" customWidth="1"/>
    <col min="3" max="3" width="8.33203125" customWidth="1"/>
    <col min="4" max="4" width="17.33203125" customWidth="1"/>
    <col min="5" max="5" width="14.33203125" bestFit="1" customWidth="1"/>
    <col min="6" max="6" width="13.6640625" customWidth="1"/>
    <col min="7" max="7" width="13.5546875" customWidth="1"/>
    <col min="8" max="8" width="12.109375" customWidth="1"/>
    <col min="9" max="9" width="15.44140625" bestFit="1" customWidth="1"/>
    <col min="10" max="10" width="9.33203125" customWidth="1"/>
    <col min="11" max="11" width="10.6640625" style="206" bestFit="1" customWidth="1"/>
    <col min="12" max="12" width="14.44140625" bestFit="1" customWidth="1"/>
    <col min="13" max="13" width="12.44140625" customWidth="1"/>
    <col min="14" max="14" width="10.33203125" customWidth="1"/>
    <col min="15" max="15" width="0" hidden="1" customWidth="1"/>
    <col min="16" max="16" width="13.109375" customWidth="1"/>
    <col min="17" max="17" width="31.33203125" bestFit="1" customWidth="1"/>
    <col min="18" max="18" width="21.6640625" customWidth="1"/>
    <col min="19" max="19" width="19.77734375" customWidth="1"/>
    <col min="20" max="20" width="15.88671875" customWidth="1"/>
    <col min="21" max="21" width="18.109375" customWidth="1"/>
    <col min="22" max="22" width="17.77734375" customWidth="1"/>
  </cols>
  <sheetData>
    <row r="1" spans="1:22" x14ac:dyDescent="0.3">
      <c r="A1" s="61" t="s">
        <v>0</v>
      </c>
      <c r="B1" s="61" t="s">
        <v>1</v>
      </c>
      <c r="C1" s="61" t="s">
        <v>186</v>
      </c>
      <c r="D1" s="61" t="s">
        <v>2</v>
      </c>
      <c r="E1" s="61" t="s">
        <v>104</v>
      </c>
      <c r="F1" s="61" t="s">
        <v>100</v>
      </c>
      <c r="G1" s="61" t="s">
        <v>198</v>
      </c>
      <c r="H1" s="61" t="s">
        <v>101</v>
      </c>
      <c r="I1" s="61" t="s">
        <v>158</v>
      </c>
      <c r="J1" s="61" t="s">
        <v>106</v>
      </c>
      <c r="K1" s="342" t="s">
        <v>99</v>
      </c>
      <c r="L1" s="61" t="s">
        <v>159</v>
      </c>
      <c r="M1" s="61" t="s">
        <v>97</v>
      </c>
      <c r="N1" s="61" t="s">
        <v>118</v>
      </c>
      <c r="O1" s="61" t="s">
        <v>118</v>
      </c>
      <c r="P1" s="61"/>
      <c r="Q1" s="67" t="s">
        <v>295</v>
      </c>
      <c r="R1" s="67" t="s">
        <v>296</v>
      </c>
      <c r="S1" s="67" t="s">
        <v>297</v>
      </c>
      <c r="T1" s="67" t="s">
        <v>298</v>
      </c>
      <c r="U1" s="67" t="s">
        <v>299</v>
      </c>
      <c r="V1" s="67" t="s">
        <v>300</v>
      </c>
    </row>
    <row r="2" spans="1:22" x14ac:dyDescent="0.3">
      <c r="A2" s="51">
        <v>1</v>
      </c>
      <c r="B2" s="146" t="s">
        <v>244</v>
      </c>
      <c r="C2" s="135" t="s">
        <v>215</v>
      </c>
      <c r="D2" s="134" t="s">
        <v>245</v>
      </c>
      <c r="E2" s="134" t="s">
        <v>108</v>
      </c>
      <c r="F2" s="149">
        <v>43177</v>
      </c>
      <c r="G2" s="130" t="s">
        <v>184</v>
      </c>
      <c r="H2" s="131">
        <v>3</v>
      </c>
      <c r="I2" s="152">
        <v>45626</v>
      </c>
      <c r="J2" s="132" t="s">
        <v>160</v>
      </c>
      <c r="K2" s="343">
        <v>45687</v>
      </c>
      <c r="L2" s="140"/>
      <c r="M2" s="214">
        <f>(315-((L4*30)+5))+$K$2</f>
        <v>45997</v>
      </c>
      <c r="N2" s="155">
        <f>I2+300</f>
        <v>45926</v>
      </c>
      <c r="O2" s="78">
        <f t="shared" ref="O2:O21" si="0">M2+280</f>
        <v>46277</v>
      </c>
      <c r="P2" s="139"/>
      <c r="Q2" t="s">
        <v>362</v>
      </c>
      <c r="R2" t="s">
        <v>325</v>
      </c>
      <c r="S2" s="206">
        <v>45695</v>
      </c>
      <c r="T2" t="s">
        <v>316</v>
      </c>
      <c r="U2">
        <v>21</v>
      </c>
      <c r="V2" t="s">
        <v>302</v>
      </c>
    </row>
    <row r="3" spans="1:22" x14ac:dyDescent="0.3">
      <c r="A3" s="51">
        <v>2</v>
      </c>
      <c r="B3" s="146" t="s">
        <v>252</v>
      </c>
      <c r="C3" s="135" t="s">
        <v>215</v>
      </c>
      <c r="D3" s="134" t="s">
        <v>253</v>
      </c>
      <c r="E3" s="134" t="s">
        <v>108</v>
      </c>
      <c r="F3" s="149">
        <v>43170</v>
      </c>
      <c r="G3" s="130" t="s">
        <v>222</v>
      </c>
      <c r="H3" s="131">
        <v>2</v>
      </c>
      <c r="I3" s="152">
        <v>45352</v>
      </c>
      <c r="J3" s="132" t="s">
        <v>157</v>
      </c>
      <c r="K3" s="343">
        <v>45687</v>
      </c>
      <c r="L3" s="140">
        <v>1.5</v>
      </c>
      <c r="M3" s="153">
        <f>(315-((L4*30)+5))+$K$2</f>
        <v>45997</v>
      </c>
      <c r="N3" s="155">
        <f t="shared" ref="N3:N46" si="1">I3+300</f>
        <v>45652</v>
      </c>
      <c r="O3" s="78"/>
      <c r="P3" s="139"/>
      <c r="Q3" t="s">
        <v>363</v>
      </c>
      <c r="R3" t="s">
        <v>327</v>
      </c>
      <c r="S3" s="206">
        <v>45665</v>
      </c>
      <c r="T3" t="s">
        <v>330</v>
      </c>
      <c r="U3">
        <v>21</v>
      </c>
      <c r="V3" t="s">
        <v>302</v>
      </c>
    </row>
    <row r="4" spans="1:22" x14ac:dyDescent="0.3">
      <c r="A4" s="159">
        <v>3</v>
      </c>
      <c r="B4" s="160" t="s">
        <v>239</v>
      </c>
      <c r="C4" s="161" t="s">
        <v>187</v>
      </c>
      <c r="D4" s="162" t="s">
        <v>4</v>
      </c>
      <c r="E4" s="173" t="s">
        <v>109</v>
      </c>
      <c r="F4" s="163">
        <v>41524</v>
      </c>
      <c r="G4" s="164" t="s">
        <v>222</v>
      </c>
      <c r="H4" s="165">
        <v>4</v>
      </c>
      <c r="I4" s="166">
        <v>45291</v>
      </c>
      <c r="J4" s="167" t="s">
        <v>160</v>
      </c>
      <c r="K4" s="344">
        <v>45687</v>
      </c>
      <c r="L4" s="172"/>
      <c r="M4" s="153">
        <f t="shared" ref="M4:M46" si="2">(315-((L5*30)+5))+$K$2</f>
        <v>45952</v>
      </c>
      <c r="N4" s="178">
        <f t="shared" si="1"/>
        <v>45591</v>
      </c>
      <c r="O4" s="171">
        <f t="shared" si="0"/>
        <v>46232</v>
      </c>
      <c r="P4" s="176" t="s">
        <v>111</v>
      </c>
      <c r="Q4" t="s">
        <v>364</v>
      </c>
      <c r="R4" t="s">
        <v>324</v>
      </c>
      <c r="S4" s="206">
        <v>45609</v>
      </c>
      <c r="T4" t="s">
        <v>334</v>
      </c>
      <c r="U4">
        <v>26</v>
      </c>
      <c r="V4" t="s">
        <v>307</v>
      </c>
    </row>
    <row r="5" spans="1:22" x14ac:dyDescent="0.3">
      <c r="A5" s="51">
        <v>4</v>
      </c>
      <c r="B5" s="146" t="s">
        <v>23</v>
      </c>
      <c r="C5" s="135" t="s">
        <v>187</v>
      </c>
      <c r="D5" s="134" t="s">
        <v>26</v>
      </c>
      <c r="E5" s="134" t="s">
        <v>109</v>
      </c>
      <c r="F5" s="149">
        <v>41565</v>
      </c>
      <c r="G5" s="130" t="s">
        <v>222</v>
      </c>
      <c r="H5" s="131">
        <v>5</v>
      </c>
      <c r="I5" s="152">
        <v>45428</v>
      </c>
      <c r="J5" s="132" t="s">
        <v>157</v>
      </c>
      <c r="K5" s="343">
        <v>45687</v>
      </c>
      <c r="L5" s="140">
        <v>1.5</v>
      </c>
      <c r="M5" s="153">
        <f t="shared" si="2"/>
        <v>45997</v>
      </c>
      <c r="N5" s="155">
        <f t="shared" si="1"/>
        <v>45728</v>
      </c>
      <c r="O5" s="78">
        <f t="shared" si="0"/>
        <v>46277</v>
      </c>
      <c r="P5" s="139"/>
      <c r="Q5" t="s">
        <v>365</v>
      </c>
      <c r="R5" t="s">
        <v>327</v>
      </c>
      <c r="S5" s="206">
        <v>45666</v>
      </c>
      <c r="T5" t="s">
        <v>316</v>
      </c>
      <c r="U5">
        <v>21</v>
      </c>
      <c r="V5" t="s">
        <v>302</v>
      </c>
    </row>
    <row r="6" spans="1:22" x14ac:dyDescent="0.3">
      <c r="A6" s="51">
        <v>5</v>
      </c>
      <c r="B6" s="160" t="s">
        <v>47</v>
      </c>
      <c r="C6" s="161" t="s">
        <v>187</v>
      </c>
      <c r="D6" s="162" t="s">
        <v>48</v>
      </c>
      <c r="E6" s="162" t="s">
        <v>109</v>
      </c>
      <c r="F6" s="163">
        <v>41156</v>
      </c>
      <c r="G6" s="164" t="s">
        <v>222</v>
      </c>
      <c r="H6" s="165">
        <v>5</v>
      </c>
      <c r="I6" s="166">
        <v>44772</v>
      </c>
      <c r="J6" s="167" t="s">
        <v>160</v>
      </c>
      <c r="K6" s="343">
        <v>45687</v>
      </c>
      <c r="L6" s="172"/>
      <c r="M6" s="153">
        <f t="shared" si="2"/>
        <v>45997</v>
      </c>
      <c r="N6" s="178">
        <f t="shared" si="1"/>
        <v>45072</v>
      </c>
      <c r="O6" s="171">
        <f t="shared" si="0"/>
        <v>46277</v>
      </c>
      <c r="P6" s="176" t="s">
        <v>111</v>
      </c>
      <c r="Q6" t="s">
        <v>366</v>
      </c>
      <c r="R6" t="s">
        <v>325</v>
      </c>
      <c r="S6" s="206">
        <v>45041</v>
      </c>
      <c r="T6" t="s">
        <v>342</v>
      </c>
      <c r="U6">
        <v>28</v>
      </c>
      <c r="V6" t="s">
        <v>307</v>
      </c>
    </row>
    <row r="7" spans="1:22" x14ac:dyDescent="0.3">
      <c r="A7" s="159">
        <v>6</v>
      </c>
      <c r="B7" s="146" t="s">
        <v>57</v>
      </c>
      <c r="C7" s="135" t="s">
        <v>187</v>
      </c>
      <c r="D7" s="134" t="s">
        <v>58</v>
      </c>
      <c r="E7" s="134" t="s">
        <v>109</v>
      </c>
      <c r="F7" s="149">
        <v>41247</v>
      </c>
      <c r="G7" s="130" t="s">
        <v>184</v>
      </c>
      <c r="H7" s="131">
        <v>5</v>
      </c>
      <c r="I7" s="152">
        <v>45626</v>
      </c>
      <c r="J7" s="132" t="s">
        <v>276</v>
      </c>
      <c r="K7" s="343">
        <v>45687</v>
      </c>
      <c r="L7" s="158"/>
      <c r="M7" s="153">
        <f t="shared" si="2"/>
        <v>45952</v>
      </c>
      <c r="N7" s="155">
        <f t="shared" si="1"/>
        <v>45926</v>
      </c>
      <c r="O7" s="78">
        <f t="shared" si="0"/>
        <v>46232</v>
      </c>
      <c r="P7" s="139"/>
      <c r="Q7" t="s">
        <v>367</v>
      </c>
      <c r="R7" t="s">
        <v>324</v>
      </c>
      <c r="S7" s="206">
        <v>45703</v>
      </c>
      <c r="T7" t="s">
        <v>316</v>
      </c>
      <c r="U7">
        <v>21</v>
      </c>
      <c r="V7" t="s">
        <v>307</v>
      </c>
    </row>
    <row r="8" spans="1:22" x14ac:dyDescent="0.3">
      <c r="A8" s="51">
        <v>7</v>
      </c>
      <c r="B8" s="146" t="s">
        <v>240</v>
      </c>
      <c r="C8" s="135" t="s">
        <v>187</v>
      </c>
      <c r="D8" s="134" t="s">
        <v>241</v>
      </c>
      <c r="E8" s="134" t="s">
        <v>109</v>
      </c>
      <c r="F8" s="149">
        <v>41496</v>
      </c>
      <c r="G8" s="130" t="s">
        <v>222</v>
      </c>
      <c r="H8" s="131">
        <v>6</v>
      </c>
      <c r="I8" s="152">
        <v>45261</v>
      </c>
      <c r="J8" s="132" t="s">
        <v>157</v>
      </c>
      <c r="K8" s="343">
        <v>45687</v>
      </c>
      <c r="L8" s="140">
        <v>1.5</v>
      </c>
      <c r="M8" s="153">
        <f t="shared" si="2"/>
        <v>45952</v>
      </c>
      <c r="N8" s="155">
        <f t="shared" si="1"/>
        <v>45561</v>
      </c>
      <c r="O8" s="78">
        <f t="shared" si="0"/>
        <v>46232</v>
      </c>
      <c r="P8" s="139"/>
      <c r="Q8" t="s">
        <v>368</v>
      </c>
      <c r="R8" t="s">
        <v>327</v>
      </c>
      <c r="S8" s="206">
        <v>45664</v>
      </c>
      <c r="T8" t="s">
        <v>330</v>
      </c>
      <c r="U8">
        <v>21</v>
      </c>
      <c r="V8" t="s">
        <v>302</v>
      </c>
    </row>
    <row r="9" spans="1:22" x14ac:dyDescent="0.3">
      <c r="A9" s="51">
        <v>8</v>
      </c>
      <c r="B9" s="136">
        <v>170309</v>
      </c>
      <c r="C9" s="133" t="s">
        <v>184</v>
      </c>
      <c r="D9" s="134" t="s">
        <v>238</v>
      </c>
      <c r="E9" s="134" t="s">
        <v>109</v>
      </c>
      <c r="F9" s="149">
        <v>42800</v>
      </c>
      <c r="G9" s="130" t="s">
        <v>222</v>
      </c>
      <c r="H9" s="131">
        <v>2</v>
      </c>
      <c r="I9" s="152">
        <v>45413</v>
      </c>
      <c r="J9" s="132" t="s">
        <v>276</v>
      </c>
      <c r="K9" s="343">
        <v>45687</v>
      </c>
      <c r="L9" s="158">
        <v>1.5</v>
      </c>
      <c r="M9" s="153">
        <f t="shared" si="2"/>
        <v>45997</v>
      </c>
      <c r="N9" s="155">
        <f t="shared" si="1"/>
        <v>45713</v>
      </c>
      <c r="O9" s="78">
        <f t="shared" si="0"/>
        <v>46277</v>
      </c>
      <c r="P9" s="139"/>
      <c r="Q9" t="s">
        <v>369</v>
      </c>
      <c r="R9" t="s">
        <v>324</v>
      </c>
      <c r="S9" s="206">
        <v>45683</v>
      </c>
      <c r="T9" t="s">
        <v>316</v>
      </c>
      <c r="U9">
        <v>21</v>
      </c>
      <c r="V9" t="s">
        <v>307</v>
      </c>
    </row>
    <row r="10" spans="1:22" x14ac:dyDescent="0.3">
      <c r="A10" s="159">
        <v>9</v>
      </c>
      <c r="B10" s="146" t="s">
        <v>242</v>
      </c>
      <c r="C10" s="135" t="s">
        <v>187</v>
      </c>
      <c r="D10" s="134" t="s">
        <v>243</v>
      </c>
      <c r="E10" s="134" t="s">
        <v>109</v>
      </c>
      <c r="F10" s="149">
        <v>41526</v>
      </c>
      <c r="G10" s="130" t="s">
        <v>184</v>
      </c>
      <c r="H10" s="131">
        <v>6</v>
      </c>
      <c r="I10" s="152">
        <v>45681</v>
      </c>
      <c r="J10" s="132" t="s">
        <v>160</v>
      </c>
      <c r="K10" s="343">
        <v>45687</v>
      </c>
      <c r="L10" s="140"/>
      <c r="M10" s="153">
        <f t="shared" si="2"/>
        <v>45997</v>
      </c>
      <c r="N10" s="155">
        <f t="shared" si="1"/>
        <v>45981</v>
      </c>
      <c r="O10" s="78">
        <f t="shared" si="0"/>
        <v>46277</v>
      </c>
      <c r="P10" s="139"/>
      <c r="Q10" t="s">
        <v>370</v>
      </c>
      <c r="R10" t="s">
        <v>324</v>
      </c>
      <c r="S10" s="206">
        <v>45396</v>
      </c>
      <c r="T10" t="s">
        <v>330</v>
      </c>
      <c r="U10">
        <v>21</v>
      </c>
      <c r="V10" t="s">
        <v>302</v>
      </c>
    </row>
    <row r="11" spans="1:22" x14ac:dyDescent="0.3">
      <c r="A11" s="51">
        <v>10</v>
      </c>
      <c r="B11" s="156" t="s">
        <v>134</v>
      </c>
      <c r="C11" s="127" t="s">
        <v>187</v>
      </c>
      <c r="D11" s="53" t="s">
        <v>237</v>
      </c>
      <c r="E11" s="53" t="s">
        <v>109</v>
      </c>
      <c r="F11" s="148">
        <v>41436</v>
      </c>
      <c r="G11" s="124" t="s">
        <v>222</v>
      </c>
      <c r="H11" s="64">
        <v>4</v>
      </c>
      <c r="I11" s="151">
        <v>45323</v>
      </c>
      <c r="J11" s="55" t="s">
        <v>160</v>
      </c>
      <c r="K11" s="343">
        <v>45687</v>
      </c>
      <c r="L11" s="140"/>
      <c r="M11" s="153">
        <f t="shared" si="2"/>
        <v>45907</v>
      </c>
      <c r="N11" s="155">
        <f t="shared" si="1"/>
        <v>45623</v>
      </c>
      <c r="O11" s="78">
        <f t="shared" si="0"/>
        <v>46187</v>
      </c>
      <c r="P11" s="139"/>
      <c r="Q11" t="s">
        <v>371</v>
      </c>
      <c r="R11" t="s">
        <v>324</v>
      </c>
      <c r="S11" s="206">
        <v>45674</v>
      </c>
      <c r="T11" t="s">
        <v>316</v>
      </c>
      <c r="U11">
        <v>21</v>
      </c>
      <c r="V11" t="s">
        <v>302</v>
      </c>
    </row>
    <row r="12" spans="1:22" x14ac:dyDescent="0.3">
      <c r="A12" s="51">
        <v>11</v>
      </c>
      <c r="B12" s="146" t="s">
        <v>21</v>
      </c>
      <c r="C12" s="135" t="s">
        <v>187</v>
      </c>
      <c r="D12" s="134" t="s">
        <v>22</v>
      </c>
      <c r="E12" s="134" t="s">
        <v>109</v>
      </c>
      <c r="F12" s="149">
        <v>41477</v>
      </c>
      <c r="G12" s="130" t="s">
        <v>222</v>
      </c>
      <c r="H12" s="131">
        <v>5</v>
      </c>
      <c r="I12" s="152">
        <v>45335</v>
      </c>
      <c r="J12" s="132" t="s">
        <v>157</v>
      </c>
      <c r="K12" s="343">
        <v>45687</v>
      </c>
      <c r="L12" s="142">
        <v>3</v>
      </c>
      <c r="M12" s="153">
        <f t="shared" si="2"/>
        <v>45892</v>
      </c>
      <c r="N12" s="155">
        <f t="shared" si="1"/>
        <v>45635</v>
      </c>
      <c r="O12" s="78">
        <f t="shared" si="0"/>
        <v>46172</v>
      </c>
      <c r="P12" s="139"/>
      <c r="Q12" t="s">
        <v>372</v>
      </c>
      <c r="R12" t="s">
        <v>327</v>
      </c>
      <c r="S12" s="206">
        <v>45656</v>
      </c>
      <c r="T12" t="s">
        <v>330</v>
      </c>
      <c r="U12">
        <v>21</v>
      </c>
      <c r="V12" t="s">
        <v>302</v>
      </c>
    </row>
    <row r="13" spans="1:22" x14ac:dyDescent="0.3">
      <c r="A13" s="159">
        <v>12</v>
      </c>
      <c r="B13" s="146" t="s">
        <v>224</v>
      </c>
      <c r="C13" s="135" t="s">
        <v>184</v>
      </c>
      <c r="D13" s="134" t="s">
        <v>225</v>
      </c>
      <c r="E13" s="134" t="s">
        <v>108</v>
      </c>
      <c r="F13" s="149">
        <v>40704</v>
      </c>
      <c r="G13" s="130" t="s">
        <v>222</v>
      </c>
      <c r="H13" s="131">
        <v>6</v>
      </c>
      <c r="I13" s="152">
        <v>45357</v>
      </c>
      <c r="J13" s="132" t="s">
        <v>157</v>
      </c>
      <c r="K13" s="343">
        <v>45687</v>
      </c>
      <c r="L13" s="142">
        <v>3.5</v>
      </c>
      <c r="M13" s="153">
        <f t="shared" si="2"/>
        <v>45967</v>
      </c>
      <c r="N13" s="155">
        <f t="shared" si="1"/>
        <v>45657</v>
      </c>
      <c r="O13" s="78">
        <f t="shared" si="0"/>
        <v>46247</v>
      </c>
      <c r="P13" s="139"/>
      <c r="Q13" t="s">
        <v>373</v>
      </c>
      <c r="R13" t="s">
        <v>327</v>
      </c>
      <c r="S13" s="206">
        <v>45650</v>
      </c>
      <c r="T13" t="s">
        <v>316</v>
      </c>
      <c r="U13">
        <v>21</v>
      </c>
      <c r="V13" t="s">
        <v>302</v>
      </c>
    </row>
    <row r="14" spans="1:22" x14ac:dyDescent="0.3">
      <c r="A14" s="51">
        <v>13</v>
      </c>
      <c r="B14" s="146" t="s">
        <v>133</v>
      </c>
      <c r="C14" s="135" t="s">
        <v>187</v>
      </c>
      <c r="D14" s="134" t="s">
        <v>223</v>
      </c>
      <c r="E14" s="134" t="s">
        <v>109</v>
      </c>
      <c r="F14" s="149">
        <v>41319</v>
      </c>
      <c r="G14" s="130" t="s">
        <v>222</v>
      </c>
      <c r="H14" s="131">
        <v>4</v>
      </c>
      <c r="I14" s="152">
        <v>45205</v>
      </c>
      <c r="J14" s="132" t="s">
        <v>276</v>
      </c>
      <c r="K14" s="343">
        <v>45687</v>
      </c>
      <c r="L14" s="142">
        <v>1</v>
      </c>
      <c r="M14" s="153">
        <f t="shared" si="2"/>
        <v>45997</v>
      </c>
      <c r="N14" s="155">
        <f t="shared" si="1"/>
        <v>45505</v>
      </c>
      <c r="O14" s="78">
        <f t="shared" si="0"/>
        <v>46277</v>
      </c>
      <c r="P14" s="139"/>
      <c r="Q14" t="s">
        <v>374</v>
      </c>
      <c r="R14" t="s">
        <v>325</v>
      </c>
      <c r="S14" s="206">
        <v>45524</v>
      </c>
      <c r="T14" t="s">
        <v>342</v>
      </c>
      <c r="U14">
        <v>24</v>
      </c>
      <c r="V14" t="s">
        <v>307</v>
      </c>
    </row>
    <row r="15" spans="1:22" x14ac:dyDescent="0.3">
      <c r="A15" s="51">
        <v>14</v>
      </c>
      <c r="B15" s="146" t="s">
        <v>231</v>
      </c>
      <c r="C15" s="135" t="s">
        <v>215</v>
      </c>
      <c r="D15" s="134" t="s">
        <v>232</v>
      </c>
      <c r="E15" s="134" t="s">
        <v>109</v>
      </c>
      <c r="F15" s="149">
        <v>41428</v>
      </c>
      <c r="G15" s="130" t="s">
        <v>222</v>
      </c>
      <c r="H15" s="131">
        <v>6</v>
      </c>
      <c r="I15" s="152">
        <v>45324</v>
      </c>
      <c r="J15" s="132" t="s">
        <v>160</v>
      </c>
      <c r="K15" s="343">
        <v>45687</v>
      </c>
      <c r="L15" s="142"/>
      <c r="M15" s="153">
        <f t="shared" si="2"/>
        <v>45997</v>
      </c>
      <c r="N15" s="155">
        <f t="shared" si="1"/>
        <v>45624</v>
      </c>
      <c r="O15" s="78">
        <f t="shared" si="0"/>
        <v>46277</v>
      </c>
      <c r="P15" s="139"/>
      <c r="Q15" t="s">
        <v>375</v>
      </c>
      <c r="R15" t="s">
        <v>325</v>
      </c>
      <c r="S15" s="206">
        <v>45624</v>
      </c>
      <c r="T15" t="s">
        <v>316</v>
      </c>
      <c r="U15">
        <v>21</v>
      </c>
      <c r="V15" t="s">
        <v>302</v>
      </c>
    </row>
    <row r="16" spans="1:22" x14ac:dyDescent="0.3">
      <c r="A16" s="159">
        <v>15</v>
      </c>
      <c r="B16" s="146" t="s">
        <v>227</v>
      </c>
      <c r="C16" s="135" t="s">
        <v>215</v>
      </c>
      <c r="D16" s="134" t="s">
        <v>228</v>
      </c>
      <c r="E16" s="134" t="s">
        <v>108</v>
      </c>
      <c r="F16" s="149">
        <v>41826</v>
      </c>
      <c r="G16" s="130" t="s">
        <v>184</v>
      </c>
      <c r="H16" s="131">
        <v>4</v>
      </c>
      <c r="I16" s="152">
        <v>45606</v>
      </c>
      <c r="J16" s="132" t="s">
        <v>160</v>
      </c>
      <c r="K16" s="343">
        <v>45687</v>
      </c>
      <c r="L16" s="142"/>
      <c r="M16" s="153">
        <f t="shared" si="2"/>
        <v>45967</v>
      </c>
      <c r="N16" s="155">
        <f t="shared" si="1"/>
        <v>45906</v>
      </c>
      <c r="O16" s="78">
        <f t="shared" si="0"/>
        <v>46247</v>
      </c>
      <c r="P16" s="139"/>
      <c r="Q16" t="s">
        <v>376</v>
      </c>
      <c r="R16" t="s">
        <v>325</v>
      </c>
      <c r="S16" s="206">
        <v>45698</v>
      </c>
      <c r="T16" t="s">
        <v>316</v>
      </c>
      <c r="U16">
        <v>21</v>
      </c>
      <c r="V16" t="s">
        <v>302</v>
      </c>
    </row>
    <row r="17" spans="1:147" x14ac:dyDescent="0.3">
      <c r="A17" s="51">
        <v>16</v>
      </c>
      <c r="B17" s="146" t="s">
        <v>136</v>
      </c>
      <c r="C17" s="135" t="s">
        <v>187</v>
      </c>
      <c r="D17" s="134" t="s">
        <v>226</v>
      </c>
      <c r="E17" s="134" t="s">
        <v>109</v>
      </c>
      <c r="F17" s="149">
        <v>41431</v>
      </c>
      <c r="G17" s="130" t="s">
        <v>222</v>
      </c>
      <c r="H17" s="131">
        <v>3</v>
      </c>
      <c r="I17" s="152">
        <v>45232</v>
      </c>
      <c r="J17" s="132" t="s">
        <v>276</v>
      </c>
      <c r="K17" s="343">
        <v>45687</v>
      </c>
      <c r="L17" s="142">
        <v>1</v>
      </c>
      <c r="M17" s="153">
        <f t="shared" si="2"/>
        <v>45907</v>
      </c>
      <c r="N17" s="155">
        <f t="shared" si="1"/>
        <v>45532</v>
      </c>
      <c r="O17" s="78">
        <f t="shared" si="0"/>
        <v>46187</v>
      </c>
      <c r="P17" s="139"/>
      <c r="Q17" t="s">
        <v>377</v>
      </c>
      <c r="R17" t="s">
        <v>325</v>
      </c>
      <c r="S17" s="206">
        <v>45541</v>
      </c>
      <c r="T17" t="s">
        <v>342</v>
      </c>
      <c r="U17" t="s">
        <v>335</v>
      </c>
      <c r="V17" t="s">
        <v>307</v>
      </c>
    </row>
    <row r="18" spans="1:147" x14ac:dyDescent="0.3">
      <c r="A18" s="51">
        <v>17</v>
      </c>
      <c r="B18" s="146" t="s">
        <v>220</v>
      </c>
      <c r="C18" s="135" t="s">
        <v>184</v>
      </c>
      <c r="D18" s="134" t="s">
        <v>221</v>
      </c>
      <c r="E18" s="134" t="s">
        <v>108</v>
      </c>
      <c r="F18" s="149">
        <v>43128</v>
      </c>
      <c r="G18" s="130" t="s">
        <v>222</v>
      </c>
      <c r="H18" s="131">
        <v>2</v>
      </c>
      <c r="I18" s="152">
        <v>45303</v>
      </c>
      <c r="J18" s="132" t="s">
        <v>157</v>
      </c>
      <c r="K18" s="343">
        <v>45687</v>
      </c>
      <c r="L18" s="142">
        <v>3</v>
      </c>
      <c r="M18" s="153">
        <f t="shared" si="2"/>
        <v>45997</v>
      </c>
      <c r="N18" s="155">
        <f t="shared" si="1"/>
        <v>45603</v>
      </c>
      <c r="O18" s="78">
        <f t="shared" si="0"/>
        <v>46277</v>
      </c>
      <c r="P18" s="143"/>
      <c r="Q18" t="s">
        <v>378</v>
      </c>
      <c r="R18" t="s">
        <v>327</v>
      </c>
      <c r="S18" s="206">
        <v>45623</v>
      </c>
      <c r="T18" t="s">
        <v>330</v>
      </c>
      <c r="U18">
        <v>21</v>
      </c>
      <c r="V18" t="s">
        <v>302</v>
      </c>
    </row>
    <row r="19" spans="1:147" x14ac:dyDescent="0.3">
      <c r="A19" s="159">
        <v>18</v>
      </c>
      <c r="B19" s="136" t="s">
        <v>218</v>
      </c>
      <c r="C19" s="133" t="s">
        <v>184</v>
      </c>
      <c r="D19" s="134" t="s">
        <v>219</v>
      </c>
      <c r="E19" s="134" t="s">
        <v>108</v>
      </c>
      <c r="F19" s="149">
        <v>42751</v>
      </c>
      <c r="G19" s="130" t="s">
        <v>184</v>
      </c>
      <c r="H19" s="131">
        <v>4</v>
      </c>
      <c r="I19" s="152">
        <v>45712</v>
      </c>
      <c r="J19" s="132" t="s">
        <v>160</v>
      </c>
      <c r="K19" s="343">
        <v>45687</v>
      </c>
      <c r="L19" s="142"/>
      <c r="M19" s="153">
        <f t="shared" si="2"/>
        <v>45967</v>
      </c>
      <c r="N19" s="155">
        <f t="shared" si="1"/>
        <v>46012</v>
      </c>
      <c r="O19" s="78">
        <f t="shared" si="0"/>
        <v>46247</v>
      </c>
      <c r="P19" s="139"/>
      <c r="Q19" t="s">
        <v>379</v>
      </c>
      <c r="R19" t="s">
        <v>325</v>
      </c>
      <c r="S19" s="206">
        <v>45771</v>
      </c>
      <c r="T19" t="s">
        <v>316</v>
      </c>
      <c r="U19">
        <v>21</v>
      </c>
      <c r="V19" t="s">
        <v>302</v>
      </c>
    </row>
    <row r="20" spans="1:147" x14ac:dyDescent="0.3">
      <c r="A20" s="51">
        <v>19</v>
      </c>
      <c r="B20" s="156" t="s">
        <v>217</v>
      </c>
      <c r="C20" s="127" t="s">
        <v>187</v>
      </c>
      <c r="D20" s="53" t="s">
        <v>213</v>
      </c>
      <c r="E20" s="53" t="s">
        <v>109</v>
      </c>
      <c r="F20" s="148">
        <v>42020</v>
      </c>
      <c r="G20" s="124" t="s">
        <v>184</v>
      </c>
      <c r="H20" s="64">
        <v>3</v>
      </c>
      <c r="I20" s="151">
        <v>45458</v>
      </c>
      <c r="J20" s="55" t="s">
        <v>276</v>
      </c>
      <c r="K20" s="343">
        <v>45687</v>
      </c>
      <c r="L20" s="140">
        <v>1</v>
      </c>
      <c r="M20" s="153">
        <f t="shared" si="2"/>
        <v>45997</v>
      </c>
      <c r="N20" s="155">
        <f t="shared" si="1"/>
        <v>45758</v>
      </c>
      <c r="O20" s="78">
        <f t="shared" si="0"/>
        <v>46277</v>
      </c>
      <c r="P20" s="139"/>
      <c r="Q20" t="s">
        <v>380</v>
      </c>
      <c r="R20" t="s">
        <v>325</v>
      </c>
      <c r="S20" s="206">
        <v>45777</v>
      </c>
      <c r="T20" t="s">
        <v>316</v>
      </c>
      <c r="U20">
        <v>21</v>
      </c>
      <c r="V20" t="s">
        <v>307</v>
      </c>
    </row>
    <row r="21" spans="1:147" x14ac:dyDescent="0.3">
      <c r="A21" s="51">
        <v>20</v>
      </c>
      <c r="B21" s="156" t="s">
        <v>211</v>
      </c>
      <c r="C21" s="127" t="s">
        <v>187</v>
      </c>
      <c r="D21" s="53" t="s">
        <v>212</v>
      </c>
      <c r="E21" s="53" t="s">
        <v>109</v>
      </c>
      <c r="F21" s="148">
        <v>41719</v>
      </c>
      <c r="G21" s="124" t="s">
        <v>184</v>
      </c>
      <c r="H21" s="64">
        <v>2</v>
      </c>
      <c r="I21" s="151">
        <v>45592</v>
      </c>
      <c r="J21" s="55" t="s">
        <v>160</v>
      </c>
      <c r="K21" s="343">
        <v>45687</v>
      </c>
      <c r="L21" s="140"/>
      <c r="M21" s="153">
        <f t="shared" si="2"/>
        <v>45997</v>
      </c>
      <c r="N21" s="155">
        <f t="shared" si="1"/>
        <v>45892</v>
      </c>
      <c r="O21" s="78">
        <f t="shared" si="0"/>
        <v>46277</v>
      </c>
      <c r="P21" s="139"/>
      <c r="Q21" t="s">
        <v>381</v>
      </c>
      <c r="R21" t="s">
        <v>325</v>
      </c>
      <c r="S21" s="206">
        <v>45859</v>
      </c>
      <c r="T21" t="s">
        <v>316</v>
      </c>
      <c r="U21">
        <v>21</v>
      </c>
      <c r="V21" t="s">
        <v>302</v>
      </c>
    </row>
    <row r="22" spans="1:147" x14ac:dyDescent="0.3">
      <c r="A22" s="159">
        <v>21</v>
      </c>
      <c r="B22" s="156" t="s">
        <v>209</v>
      </c>
      <c r="C22" s="127" t="s">
        <v>184</v>
      </c>
      <c r="D22" s="53" t="s">
        <v>210</v>
      </c>
      <c r="E22" s="53" t="s">
        <v>109</v>
      </c>
      <c r="F22" s="148">
        <v>40909</v>
      </c>
      <c r="G22" s="124" t="s">
        <v>184</v>
      </c>
      <c r="H22" s="64">
        <v>5</v>
      </c>
      <c r="I22" s="151">
        <v>45603</v>
      </c>
      <c r="J22" s="55" t="s">
        <v>160</v>
      </c>
      <c r="K22" s="343">
        <v>45687</v>
      </c>
      <c r="L22" s="140"/>
      <c r="M22" s="153">
        <f t="shared" si="2"/>
        <v>45997</v>
      </c>
      <c r="N22" s="155">
        <f t="shared" si="1"/>
        <v>45903</v>
      </c>
      <c r="O22" s="78">
        <f>I22+280</f>
        <v>45883</v>
      </c>
      <c r="P22" s="139"/>
      <c r="Q22" t="s">
        <v>367</v>
      </c>
      <c r="R22" t="s">
        <v>325</v>
      </c>
      <c r="S22" s="206">
        <v>45702</v>
      </c>
      <c r="T22" t="s">
        <v>316</v>
      </c>
      <c r="U22">
        <v>21</v>
      </c>
      <c r="V22" t="s">
        <v>302</v>
      </c>
    </row>
    <row r="23" spans="1:147" x14ac:dyDescent="0.3">
      <c r="A23" s="51">
        <v>22</v>
      </c>
      <c r="B23" s="156" t="s">
        <v>208</v>
      </c>
      <c r="C23" s="127" t="s">
        <v>184</v>
      </c>
      <c r="D23" s="53" t="s">
        <v>34</v>
      </c>
      <c r="E23" s="53" t="s">
        <v>109</v>
      </c>
      <c r="F23" s="148">
        <v>42912</v>
      </c>
      <c r="G23" s="124" t="s">
        <v>184</v>
      </c>
      <c r="H23" s="64">
        <v>2</v>
      </c>
      <c r="I23" s="151">
        <v>45595</v>
      </c>
      <c r="J23" s="55" t="s">
        <v>160</v>
      </c>
      <c r="K23" s="343">
        <v>45687</v>
      </c>
      <c r="L23" s="140"/>
      <c r="M23" s="153">
        <f t="shared" si="2"/>
        <v>45997</v>
      </c>
      <c r="N23" s="155">
        <f t="shared" si="1"/>
        <v>45895</v>
      </c>
      <c r="O23" s="78">
        <f t="shared" ref="O23:O43" si="3">I23+280</f>
        <v>45875</v>
      </c>
      <c r="P23" s="139"/>
      <c r="Q23" t="s">
        <v>382</v>
      </c>
      <c r="R23" t="s">
        <v>325</v>
      </c>
      <c r="S23" s="206">
        <v>45694</v>
      </c>
      <c r="T23" t="s">
        <v>330</v>
      </c>
      <c r="U23">
        <v>21</v>
      </c>
      <c r="V23" t="s">
        <v>302</v>
      </c>
    </row>
    <row r="24" spans="1:147" x14ac:dyDescent="0.3">
      <c r="A24" s="51">
        <v>23</v>
      </c>
      <c r="B24" s="156" t="s">
        <v>214</v>
      </c>
      <c r="C24" s="127" t="s">
        <v>215</v>
      </c>
      <c r="D24" s="53" t="s">
        <v>216</v>
      </c>
      <c r="E24" s="53" t="s">
        <v>109</v>
      </c>
      <c r="F24" s="148">
        <v>41459</v>
      </c>
      <c r="G24" s="124" t="s">
        <v>184</v>
      </c>
      <c r="H24" s="64">
        <v>6</v>
      </c>
      <c r="I24" s="151">
        <v>45626</v>
      </c>
      <c r="J24" s="55" t="s">
        <v>160</v>
      </c>
      <c r="K24" s="343">
        <v>45687</v>
      </c>
      <c r="L24" s="140"/>
      <c r="M24" s="153">
        <f t="shared" si="2"/>
        <v>45997</v>
      </c>
      <c r="N24" s="155">
        <f t="shared" si="1"/>
        <v>45926</v>
      </c>
      <c r="O24" s="78">
        <f t="shared" si="3"/>
        <v>45906</v>
      </c>
      <c r="P24" s="139"/>
      <c r="Q24" t="s">
        <v>383</v>
      </c>
      <c r="R24" t="s">
        <v>325</v>
      </c>
      <c r="S24" s="206">
        <v>45696</v>
      </c>
      <c r="T24" t="s">
        <v>316</v>
      </c>
      <c r="U24">
        <v>21</v>
      </c>
      <c r="V24" t="s">
        <v>302</v>
      </c>
    </row>
    <row r="25" spans="1:147" x14ac:dyDescent="0.3">
      <c r="A25" s="159">
        <v>24</v>
      </c>
      <c r="B25" s="156" t="s">
        <v>206</v>
      </c>
      <c r="C25" s="127" t="s">
        <v>184</v>
      </c>
      <c r="D25" s="53" t="s">
        <v>207</v>
      </c>
      <c r="E25" s="53" t="s">
        <v>108</v>
      </c>
      <c r="F25" s="148">
        <v>40544</v>
      </c>
      <c r="G25" s="124" t="s">
        <v>184</v>
      </c>
      <c r="H25" s="64">
        <v>6</v>
      </c>
      <c r="I25" s="151">
        <v>45638</v>
      </c>
      <c r="J25" s="55" t="s">
        <v>160</v>
      </c>
      <c r="K25" s="343">
        <v>45700</v>
      </c>
      <c r="L25" s="140"/>
      <c r="M25" s="153">
        <f t="shared" si="2"/>
        <v>45997</v>
      </c>
      <c r="N25" s="155">
        <f t="shared" si="1"/>
        <v>45938</v>
      </c>
      <c r="O25" s="78">
        <f t="shared" si="3"/>
        <v>45918</v>
      </c>
      <c r="P25" s="141"/>
      <c r="Q25" t="s">
        <v>384</v>
      </c>
      <c r="R25" t="s">
        <v>325</v>
      </c>
      <c r="S25" s="206">
        <v>45727</v>
      </c>
      <c r="T25" t="s">
        <v>316</v>
      </c>
      <c r="U25">
        <v>21</v>
      </c>
      <c r="V25" t="s">
        <v>302</v>
      </c>
    </row>
    <row r="26" spans="1:147" x14ac:dyDescent="0.3">
      <c r="A26" s="51">
        <v>25</v>
      </c>
      <c r="B26" s="156" t="s">
        <v>204</v>
      </c>
      <c r="C26" s="127" t="s">
        <v>184</v>
      </c>
      <c r="D26" s="53" t="s">
        <v>194</v>
      </c>
      <c r="E26" s="53" t="s">
        <v>108</v>
      </c>
      <c r="F26" s="148">
        <v>43112</v>
      </c>
      <c r="G26" s="124" t="s">
        <v>184</v>
      </c>
      <c r="H26" s="64">
        <v>2</v>
      </c>
      <c r="I26" s="151">
        <v>45626</v>
      </c>
      <c r="J26" s="55" t="s">
        <v>160</v>
      </c>
      <c r="K26" s="343">
        <v>45687</v>
      </c>
      <c r="L26" s="140"/>
      <c r="M26" s="153">
        <f t="shared" si="2"/>
        <v>45997</v>
      </c>
      <c r="N26" s="155">
        <f t="shared" si="1"/>
        <v>45926</v>
      </c>
      <c r="O26" s="78">
        <f t="shared" si="3"/>
        <v>45906</v>
      </c>
      <c r="P26" s="139"/>
      <c r="Q26" t="s">
        <v>385</v>
      </c>
      <c r="R26" t="s">
        <v>325</v>
      </c>
      <c r="S26" s="206">
        <v>45698</v>
      </c>
      <c r="T26" t="s">
        <v>330</v>
      </c>
      <c r="U26">
        <v>21</v>
      </c>
      <c r="V26" t="s">
        <v>302</v>
      </c>
    </row>
    <row r="27" spans="1:147" x14ac:dyDescent="0.3">
      <c r="A27" s="51">
        <v>26</v>
      </c>
      <c r="B27" s="156" t="s">
        <v>31</v>
      </c>
      <c r="C27" s="127" t="s">
        <v>187</v>
      </c>
      <c r="D27" s="53" t="s">
        <v>205</v>
      </c>
      <c r="E27" s="53" t="s">
        <v>109</v>
      </c>
      <c r="F27" s="148">
        <v>39094</v>
      </c>
      <c r="G27" s="124" t="s">
        <v>222</v>
      </c>
      <c r="H27" s="64">
        <v>5</v>
      </c>
      <c r="I27" s="151">
        <v>45432</v>
      </c>
      <c r="J27" s="55" t="s">
        <v>160</v>
      </c>
      <c r="K27" s="343">
        <v>45687</v>
      </c>
      <c r="L27" s="140"/>
      <c r="M27" s="153">
        <f t="shared" si="2"/>
        <v>45997</v>
      </c>
      <c r="N27" s="155">
        <f t="shared" si="1"/>
        <v>45732</v>
      </c>
      <c r="O27" s="78">
        <f t="shared" si="3"/>
        <v>45712</v>
      </c>
      <c r="P27" s="139"/>
      <c r="Q27" t="s">
        <v>386</v>
      </c>
      <c r="R27" t="s">
        <v>325</v>
      </c>
      <c r="S27" s="206">
        <v>45564</v>
      </c>
      <c r="T27" t="s">
        <v>316</v>
      </c>
      <c r="U27">
        <v>24</v>
      </c>
      <c r="V27" t="s">
        <v>307</v>
      </c>
    </row>
    <row r="28" spans="1:147" s="187" customFormat="1" x14ac:dyDescent="0.3">
      <c r="A28" s="159">
        <v>27</v>
      </c>
      <c r="B28" s="179" t="s">
        <v>202</v>
      </c>
      <c r="C28" s="180" t="s">
        <v>184</v>
      </c>
      <c r="D28" s="181" t="s">
        <v>203</v>
      </c>
      <c r="E28" s="181" t="s">
        <v>108</v>
      </c>
      <c r="F28" s="182">
        <v>42741</v>
      </c>
      <c r="G28" s="183" t="s">
        <v>184</v>
      </c>
      <c r="H28" s="184">
        <v>2</v>
      </c>
      <c r="I28" s="182">
        <v>45610</v>
      </c>
      <c r="J28" s="55" t="s">
        <v>160</v>
      </c>
      <c r="K28" s="343">
        <v>45687</v>
      </c>
      <c r="L28" s="41"/>
      <c r="M28" s="153">
        <f t="shared" si="2"/>
        <v>45997</v>
      </c>
      <c r="N28" s="186">
        <f t="shared" si="1"/>
        <v>45910</v>
      </c>
      <c r="O28" s="185">
        <f t="shared" si="3"/>
        <v>45890</v>
      </c>
      <c r="Q28" t="s">
        <v>387</v>
      </c>
      <c r="R28" t="s">
        <v>325</v>
      </c>
      <c r="S28" s="206">
        <v>45709</v>
      </c>
      <c r="T28" t="s">
        <v>330</v>
      </c>
      <c r="U28">
        <v>21</v>
      </c>
      <c r="V28" t="s">
        <v>302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</row>
    <row r="29" spans="1:147" x14ac:dyDescent="0.3">
      <c r="A29" s="51">
        <v>28</v>
      </c>
      <c r="B29" s="156" t="s">
        <v>19</v>
      </c>
      <c r="C29" s="127" t="s">
        <v>187</v>
      </c>
      <c r="D29" s="53" t="s">
        <v>201</v>
      </c>
      <c r="E29" s="129" t="s">
        <v>109</v>
      </c>
      <c r="F29" s="148">
        <v>41010</v>
      </c>
      <c r="G29" s="124" t="s">
        <v>184</v>
      </c>
      <c r="H29" s="64">
        <v>6</v>
      </c>
      <c r="I29" s="151">
        <v>45598</v>
      </c>
      <c r="J29" s="55" t="s">
        <v>160</v>
      </c>
      <c r="K29" s="343">
        <v>45687</v>
      </c>
      <c r="L29" s="140"/>
      <c r="M29" s="153">
        <f>(315-((L30*30)+5))+$K$2</f>
        <v>45997</v>
      </c>
      <c r="N29" s="155">
        <f t="shared" si="1"/>
        <v>45898</v>
      </c>
      <c r="O29" s="78">
        <f t="shared" si="3"/>
        <v>45878</v>
      </c>
      <c r="P29" s="139"/>
      <c r="Q29" t="s">
        <v>388</v>
      </c>
      <c r="R29" t="s">
        <v>325</v>
      </c>
      <c r="S29" s="206">
        <v>45691</v>
      </c>
      <c r="T29" t="s">
        <v>342</v>
      </c>
      <c r="U29">
        <v>21</v>
      </c>
      <c r="V29" t="s">
        <v>302</v>
      </c>
    </row>
    <row r="30" spans="1:147" x14ac:dyDescent="0.3">
      <c r="A30" s="51">
        <v>29</v>
      </c>
      <c r="B30" s="156" t="s">
        <v>199</v>
      </c>
      <c r="C30" s="127" t="s">
        <v>184</v>
      </c>
      <c r="D30" s="53" t="s">
        <v>200</v>
      </c>
      <c r="E30" s="53" t="s">
        <v>108</v>
      </c>
      <c r="F30" s="148">
        <v>43139</v>
      </c>
      <c r="G30" s="124" t="s">
        <v>222</v>
      </c>
      <c r="H30" s="64">
        <v>1</v>
      </c>
      <c r="I30" s="151">
        <v>45001</v>
      </c>
      <c r="J30" s="55" t="s">
        <v>160</v>
      </c>
      <c r="K30" s="343">
        <v>45687</v>
      </c>
      <c r="L30" s="140"/>
      <c r="M30" s="153">
        <f t="shared" si="2"/>
        <v>45997</v>
      </c>
      <c r="N30" s="155">
        <f t="shared" si="1"/>
        <v>45301</v>
      </c>
      <c r="O30" s="78">
        <f t="shared" si="3"/>
        <v>45281</v>
      </c>
      <c r="P30" s="139"/>
      <c r="Q30" t="s">
        <v>389</v>
      </c>
      <c r="R30" t="s">
        <v>325</v>
      </c>
      <c r="S30" s="206">
        <v>45320</v>
      </c>
      <c r="T30" t="s">
        <v>316</v>
      </c>
      <c r="U30">
        <v>21</v>
      </c>
      <c r="V30" t="s">
        <v>302</v>
      </c>
    </row>
    <row r="31" spans="1:147" x14ac:dyDescent="0.3">
      <c r="A31" s="159">
        <v>30</v>
      </c>
      <c r="B31" s="156" t="s">
        <v>196</v>
      </c>
      <c r="C31" s="127" t="s">
        <v>184</v>
      </c>
      <c r="D31" s="53" t="s">
        <v>197</v>
      </c>
      <c r="E31" s="53" t="s">
        <v>108</v>
      </c>
      <c r="F31" s="148">
        <v>42748</v>
      </c>
      <c r="G31" s="124" t="s">
        <v>184</v>
      </c>
      <c r="H31" s="64">
        <v>2</v>
      </c>
      <c r="I31" s="151">
        <v>45625</v>
      </c>
      <c r="J31" s="55" t="s">
        <v>160</v>
      </c>
      <c r="K31" s="343">
        <v>45687</v>
      </c>
      <c r="L31" s="140"/>
      <c r="M31" s="153">
        <f t="shared" si="2"/>
        <v>45847</v>
      </c>
      <c r="N31" s="155">
        <f t="shared" si="1"/>
        <v>45925</v>
      </c>
      <c r="O31" s="78">
        <f t="shared" si="3"/>
        <v>45905</v>
      </c>
      <c r="P31" s="139"/>
      <c r="Q31" t="s">
        <v>362</v>
      </c>
      <c r="R31" t="s">
        <v>325</v>
      </c>
      <c r="S31" s="206">
        <v>45694</v>
      </c>
      <c r="T31" t="s">
        <v>330</v>
      </c>
      <c r="U31">
        <v>21</v>
      </c>
      <c r="V31" t="s">
        <v>302</v>
      </c>
    </row>
    <row r="32" spans="1:147" x14ac:dyDescent="0.3">
      <c r="A32" s="51">
        <v>31</v>
      </c>
      <c r="B32" s="156" t="s">
        <v>193</v>
      </c>
      <c r="C32" s="127" t="s">
        <v>184</v>
      </c>
      <c r="D32" s="53" t="s">
        <v>195</v>
      </c>
      <c r="E32" s="53" t="s">
        <v>108</v>
      </c>
      <c r="F32" s="148">
        <v>43099</v>
      </c>
      <c r="G32" s="124" t="s">
        <v>222</v>
      </c>
      <c r="H32" s="64">
        <v>1</v>
      </c>
      <c r="I32" s="151">
        <v>45009</v>
      </c>
      <c r="J32" s="55" t="s">
        <v>157</v>
      </c>
      <c r="K32" s="343">
        <v>45687</v>
      </c>
      <c r="L32" s="140">
        <v>5</v>
      </c>
      <c r="M32" s="153">
        <f t="shared" si="2"/>
        <v>45997</v>
      </c>
      <c r="N32" s="155">
        <f t="shared" si="1"/>
        <v>45309</v>
      </c>
      <c r="O32" s="78">
        <f t="shared" si="3"/>
        <v>45289</v>
      </c>
      <c r="P32" s="139"/>
      <c r="Q32" t="s">
        <v>391</v>
      </c>
      <c r="R32" t="s">
        <v>327</v>
      </c>
      <c r="S32" s="206">
        <v>45635</v>
      </c>
      <c r="T32" t="s">
        <v>330</v>
      </c>
      <c r="U32">
        <v>21</v>
      </c>
      <c r="V32" t="s">
        <v>302</v>
      </c>
    </row>
    <row r="33" spans="1:22" x14ac:dyDescent="0.3">
      <c r="A33" s="51">
        <v>32</v>
      </c>
      <c r="B33" s="156" t="s">
        <v>191</v>
      </c>
      <c r="C33" s="127" t="s">
        <v>184</v>
      </c>
      <c r="D33" s="53" t="s">
        <v>192</v>
      </c>
      <c r="E33" s="53" t="s">
        <v>108</v>
      </c>
      <c r="F33" s="148">
        <v>43140</v>
      </c>
      <c r="G33" s="124" t="s">
        <v>222</v>
      </c>
      <c r="H33" s="64">
        <v>1</v>
      </c>
      <c r="I33" s="151">
        <v>45012</v>
      </c>
      <c r="J33" s="55" t="s">
        <v>160</v>
      </c>
      <c r="K33" s="343">
        <v>45687</v>
      </c>
      <c r="L33" s="140"/>
      <c r="M33" s="153">
        <f t="shared" si="2"/>
        <v>45997</v>
      </c>
      <c r="N33" s="155">
        <f t="shared" si="1"/>
        <v>45312</v>
      </c>
      <c r="O33" s="78">
        <f t="shared" si="3"/>
        <v>45292</v>
      </c>
      <c r="P33" s="139"/>
      <c r="Q33" t="s">
        <v>392</v>
      </c>
      <c r="R33" t="s">
        <v>325</v>
      </c>
      <c r="S33" s="206">
        <v>45671</v>
      </c>
      <c r="T33" t="s">
        <v>316</v>
      </c>
      <c r="U33">
        <v>21</v>
      </c>
      <c r="V33" t="s">
        <v>302</v>
      </c>
    </row>
    <row r="34" spans="1:22" x14ac:dyDescent="0.3">
      <c r="A34" s="159">
        <v>33</v>
      </c>
      <c r="B34" s="156" t="s">
        <v>188</v>
      </c>
      <c r="C34" s="127" t="s">
        <v>184</v>
      </c>
      <c r="D34" s="53" t="s">
        <v>190</v>
      </c>
      <c r="E34" s="53" t="s">
        <v>108</v>
      </c>
      <c r="F34" s="148">
        <v>43141</v>
      </c>
      <c r="G34" s="124" t="s">
        <v>184</v>
      </c>
      <c r="H34" s="64">
        <v>2</v>
      </c>
      <c r="I34" s="151">
        <v>45604</v>
      </c>
      <c r="J34" s="55" t="s">
        <v>160</v>
      </c>
      <c r="K34" s="343">
        <v>45687</v>
      </c>
      <c r="L34" s="140"/>
      <c r="M34" s="153">
        <f t="shared" si="2"/>
        <v>45997</v>
      </c>
      <c r="N34" s="155">
        <f t="shared" si="1"/>
        <v>45904</v>
      </c>
      <c r="O34" s="78">
        <f t="shared" si="3"/>
        <v>45884</v>
      </c>
      <c r="P34" s="139"/>
      <c r="Q34" t="s">
        <v>393</v>
      </c>
      <c r="R34" t="s">
        <v>325</v>
      </c>
      <c r="S34" s="206">
        <v>45686</v>
      </c>
      <c r="T34" t="s">
        <v>316</v>
      </c>
      <c r="U34">
        <v>21</v>
      </c>
      <c r="V34" t="s">
        <v>302</v>
      </c>
    </row>
    <row r="35" spans="1:22" x14ac:dyDescent="0.3">
      <c r="A35" s="51">
        <v>34</v>
      </c>
      <c r="B35" s="156" t="s">
        <v>180</v>
      </c>
      <c r="C35" s="127" t="s">
        <v>187</v>
      </c>
      <c r="D35" s="53" t="s">
        <v>161</v>
      </c>
      <c r="E35" s="53" t="s">
        <v>109</v>
      </c>
      <c r="F35" s="148">
        <v>41761</v>
      </c>
      <c r="G35" s="124" t="s">
        <v>184</v>
      </c>
      <c r="H35" s="64">
        <v>4</v>
      </c>
      <c r="I35" s="151">
        <v>45626</v>
      </c>
      <c r="J35" s="55" t="s">
        <v>160</v>
      </c>
      <c r="K35" s="343">
        <v>45687</v>
      </c>
      <c r="L35" s="140"/>
      <c r="M35" s="153">
        <f t="shared" si="2"/>
        <v>45997</v>
      </c>
      <c r="N35" s="155">
        <f t="shared" si="1"/>
        <v>45926</v>
      </c>
      <c r="O35" s="78">
        <f t="shared" si="3"/>
        <v>45906</v>
      </c>
      <c r="P35" s="139"/>
      <c r="Q35" t="s">
        <v>362</v>
      </c>
      <c r="R35" t="s">
        <v>325</v>
      </c>
      <c r="S35" s="206">
        <v>45694</v>
      </c>
      <c r="T35" t="s">
        <v>330</v>
      </c>
      <c r="U35">
        <v>21</v>
      </c>
      <c r="V35" t="s">
        <v>302</v>
      </c>
    </row>
    <row r="36" spans="1:22" x14ac:dyDescent="0.3">
      <c r="A36" s="51">
        <v>35</v>
      </c>
      <c r="B36" s="156" t="s">
        <v>29</v>
      </c>
      <c r="C36" s="127" t="s">
        <v>187</v>
      </c>
      <c r="D36" s="53" t="s">
        <v>30</v>
      </c>
      <c r="E36" s="53" t="s">
        <v>109</v>
      </c>
      <c r="F36" s="148">
        <v>41255</v>
      </c>
      <c r="G36" s="124" t="s">
        <v>184</v>
      </c>
      <c r="H36" s="64">
        <v>5</v>
      </c>
      <c r="I36" s="151">
        <v>45600</v>
      </c>
      <c r="J36" s="55" t="s">
        <v>160</v>
      </c>
      <c r="K36" s="343">
        <v>45687</v>
      </c>
      <c r="L36" s="140"/>
      <c r="M36" s="153">
        <f t="shared" si="2"/>
        <v>45997</v>
      </c>
      <c r="N36" s="155">
        <f t="shared" si="1"/>
        <v>45900</v>
      </c>
      <c r="O36" s="78">
        <f t="shared" si="3"/>
        <v>45880</v>
      </c>
      <c r="P36" s="139"/>
      <c r="Q36" t="s">
        <v>394</v>
      </c>
      <c r="R36" t="s">
        <v>325</v>
      </c>
      <c r="S36" s="206">
        <v>45688</v>
      </c>
      <c r="T36" t="s">
        <v>316</v>
      </c>
      <c r="U36">
        <v>21</v>
      </c>
      <c r="V36" t="s">
        <v>302</v>
      </c>
    </row>
    <row r="37" spans="1:22" x14ac:dyDescent="0.3">
      <c r="A37" s="159">
        <v>36</v>
      </c>
      <c r="B37" s="156" t="s">
        <v>185</v>
      </c>
      <c r="C37" s="127" t="s">
        <v>187</v>
      </c>
      <c r="D37" s="53" t="s">
        <v>250</v>
      </c>
      <c r="E37" s="53" t="s">
        <v>109</v>
      </c>
      <c r="F37" s="148">
        <v>43166</v>
      </c>
      <c r="G37" s="124" t="s">
        <v>222</v>
      </c>
      <c r="H37" s="64">
        <v>1</v>
      </c>
      <c r="I37" s="151">
        <v>45034</v>
      </c>
      <c r="J37" s="55" t="s">
        <v>160</v>
      </c>
      <c r="K37" s="343">
        <v>45687</v>
      </c>
      <c r="L37" s="140"/>
      <c r="M37" s="153">
        <f t="shared" si="2"/>
        <v>45997</v>
      </c>
      <c r="N37" s="155">
        <f t="shared" si="1"/>
        <v>45334</v>
      </c>
      <c r="O37" s="78">
        <f t="shared" si="3"/>
        <v>45314</v>
      </c>
      <c r="P37" s="139"/>
      <c r="Q37" t="s">
        <v>395</v>
      </c>
      <c r="R37" t="s">
        <v>325</v>
      </c>
      <c r="S37" s="206">
        <v>45328</v>
      </c>
      <c r="T37" t="s">
        <v>316</v>
      </c>
      <c r="U37">
        <v>21</v>
      </c>
      <c r="V37" t="s">
        <v>302</v>
      </c>
    </row>
    <row r="38" spans="1:22" x14ac:dyDescent="0.3">
      <c r="A38" s="51">
        <v>37</v>
      </c>
      <c r="B38" s="146" t="s">
        <v>83</v>
      </c>
      <c r="C38" s="135" t="s">
        <v>187</v>
      </c>
      <c r="D38" s="134" t="s">
        <v>84</v>
      </c>
      <c r="E38" s="134" t="s">
        <v>108</v>
      </c>
      <c r="F38" s="149">
        <v>41246</v>
      </c>
      <c r="G38" s="130" t="s">
        <v>184</v>
      </c>
      <c r="H38" s="131">
        <v>6</v>
      </c>
      <c r="I38" s="152">
        <v>45626</v>
      </c>
      <c r="J38" s="132" t="s">
        <v>160</v>
      </c>
      <c r="K38" s="343">
        <v>45687</v>
      </c>
      <c r="L38" s="140"/>
      <c r="M38" s="153">
        <f t="shared" si="2"/>
        <v>45997</v>
      </c>
      <c r="N38" s="155">
        <f t="shared" si="1"/>
        <v>45926</v>
      </c>
      <c r="O38" s="78">
        <f t="shared" si="3"/>
        <v>45906</v>
      </c>
      <c r="P38" s="139"/>
      <c r="Q38" t="s">
        <v>396</v>
      </c>
      <c r="R38" t="s">
        <v>325</v>
      </c>
      <c r="S38" s="206">
        <v>45695</v>
      </c>
      <c r="T38" t="s">
        <v>390</v>
      </c>
      <c r="U38">
        <v>21</v>
      </c>
      <c r="V38" t="s">
        <v>302</v>
      </c>
    </row>
    <row r="39" spans="1:22" x14ac:dyDescent="0.3">
      <c r="A39" s="51">
        <v>38</v>
      </c>
      <c r="B39" s="146" t="s">
        <v>248</v>
      </c>
      <c r="C39" s="135" t="s">
        <v>184</v>
      </c>
      <c r="D39" s="134" t="s">
        <v>249</v>
      </c>
      <c r="E39" s="134" t="s">
        <v>108</v>
      </c>
      <c r="F39" s="149">
        <v>42739</v>
      </c>
      <c r="G39" s="130" t="s">
        <v>184</v>
      </c>
      <c r="H39" s="131">
        <v>2</v>
      </c>
      <c r="I39" s="152">
        <v>45626</v>
      </c>
      <c r="J39" s="132" t="s">
        <v>160</v>
      </c>
      <c r="K39" s="343">
        <v>45687</v>
      </c>
      <c r="L39" s="140"/>
      <c r="M39" s="153">
        <f t="shared" si="2"/>
        <v>45997</v>
      </c>
      <c r="N39" s="155">
        <f t="shared" si="1"/>
        <v>45926</v>
      </c>
      <c r="O39" s="78">
        <f t="shared" si="3"/>
        <v>45906</v>
      </c>
      <c r="P39" s="139"/>
      <c r="Q39" t="s">
        <v>383</v>
      </c>
      <c r="R39" t="s">
        <v>325</v>
      </c>
      <c r="S39" s="206">
        <v>45696</v>
      </c>
      <c r="T39" t="s">
        <v>330</v>
      </c>
      <c r="U39">
        <v>21</v>
      </c>
      <c r="V39" t="s">
        <v>302</v>
      </c>
    </row>
    <row r="40" spans="1:22" x14ac:dyDescent="0.3">
      <c r="A40" s="159">
        <v>39</v>
      </c>
      <c r="B40" s="146" t="s">
        <v>263</v>
      </c>
      <c r="C40" s="135" t="s">
        <v>184</v>
      </c>
      <c r="D40" s="134" t="s">
        <v>264</v>
      </c>
      <c r="E40" s="134" t="s">
        <v>109</v>
      </c>
      <c r="F40" s="149">
        <v>43118</v>
      </c>
      <c r="G40" s="130" t="s">
        <v>184</v>
      </c>
      <c r="H40" s="131">
        <v>3</v>
      </c>
      <c r="I40" s="152">
        <v>45626</v>
      </c>
      <c r="J40" s="132" t="s">
        <v>160</v>
      </c>
      <c r="K40" s="343">
        <v>45687</v>
      </c>
      <c r="L40" s="158"/>
      <c r="M40" s="153">
        <f t="shared" si="2"/>
        <v>45997</v>
      </c>
      <c r="N40" s="155">
        <f t="shared" si="1"/>
        <v>45926</v>
      </c>
      <c r="O40" s="78">
        <f t="shared" si="3"/>
        <v>45906</v>
      </c>
      <c r="P40" s="139"/>
      <c r="Q40" t="s">
        <v>397</v>
      </c>
      <c r="R40" t="s">
        <v>325</v>
      </c>
      <c r="S40" s="206">
        <v>45697</v>
      </c>
      <c r="T40" t="s">
        <v>316</v>
      </c>
      <c r="U40">
        <v>21</v>
      </c>
      <c r="V40" t="s">
        <v>302</v>
      </c>
    </row>
    <row r="41" spans="1:22" x14ac:dyDescent="0.3">
      <c r="A41" s="51">
        <v>40</v>
      </c>
      <c r="B41" s="146" t="s">
        <v>262</v>
      </c>
      <c r="C41" s="135" t="s">
        <v>184</v>
      </c>
      <c r="D41" s="134">
        <v>38</v>
      </c>
      <c r="E41" s="134" t="s">
        <v>109</v>
      </c>
      <c r="F41" s="149">
        <v>40461</v>
      </c>
      <c r="G41" s="130" t="s">
        <v>184</v>
      </c>
      <c r="H41" s="131">
        <v>6</v>
      </c>
      <c r="I41" s="152">
        <v>45631</v>
      </c>
      <c r="J41" s="132" t="s">
        <v>160</v>
      </c>
      <c r="K41" s="343">
        <v>45687</v>
      </c>
      <c r="L41" s="158"/>
      <c r="M41" s="153">
        <f t="shared" si="2"/>
        <v>45997</v>
      </c>
      <c r="N41" s="155">
        <f t="shared" si="1"/>
        <v>45931</v>
      </c>
      <c r="O41" s="78">
        <f t="shared" si="3"/>
        <v>45911</v>
      </c>
      <c r="P41" s="139"/>
      <c r="Q41" t="s">
        <v>398</v>
      </c>
      <c r="R41" t="s">
        <v>325</v>
      </c>
      <c r="S41" s="206">
        <v>45701</v>
      </c>
      <c r="T41" t="s">
        <v>342</v>
      </c>
      <c r="U41">
        <v>21</v>
      </c>
      <c r="V41" t="s">
        <v>302</v>
      </c>
    </row>
    <row r="42" spans="1:22" x14ac:dyDescent="0.3">
      <c r="A42" s="51">
        <v>41</v>
      </c>
      <c r="B42" s="156" t="s">
        <v>189</v>
      </c>
      <c r="C42" s="127" t="s">
        <v>184</v>
      </c>
      <c r="D42" s="53" t="s">
        <v>183</v>
      </c>
      <c r="E42" s="53" t="s">
        <v>109</v>
      </c>
      <c r="F42" s="148">
        <v>43142</v>
      </c>
      <c r="G42" s="124" t="s">
        <v>184</v>
      </c>
      <c r="H42" s="64">
        <v>2</v>
      </c>
      <c r="I42" s="151">
        <v>45609</v>
      </c>
      <c r="J42" s="55" t="s">
        <v>160</v>
      </c>
      <c r="K42" s="343">
        <v>45687</v>
      </c>
      <c r="L42" s="140"/>
      <c r="M42" s="153">
        <f t="shared" si="2"/>
        <v>45892</v>
      </c>
      <c r="N42" s="155">
        <f t="shared" si="1"/>
        <v>45909</v>
      </c>
      <c r="O42" s="139">
        <f t="shared" si="3"/>
        <v>45889</v>
      </c>
      <c r="P42" s="139"/>
      <c r="Q42" t="s">
        <v>399</v>
      </c>
      <c r="R42" t="s">
        <v>325</v>
      </c>
      <c r="S42" s="206">
        <v>45690</v>
      </c>
      <c r="T42" t="s">
        <v>316</v>
      </c>
      <c r="U42">
        <v>23</v>
      </c>
      <c r="V42" t="s">
        <v>307</v>
      </c>
    </row>
    <row r="43" spans="1:22" x14ac:dyDescent="0.3">
      <c r="A43" s="159">
        <v>42</v>
      </c>
      <c r="B43" s="156" t="s">
        <v>272</v>
      </c>
      <c r="C43" s="127" t="s">
        <v>187</v>
      </c>
      <c r="D43" s="53" t="s">
        <v>283</v>
      </c>
      <c r="E43" s="53" t="s">
        <v>109</v>
      </c>
      <c r="F43" s="148">
        <v>43178</v>
      </c>
      <c r="G43" s="124" t="s">
        <v>222</v>
      </c>
      <c r="H43" s="64">
        <v>1</v>
      </c>
      <c r="I43" s="151">
        <v>45339</v>
      </c>
      <c r="J43" s="55" t="s">
        <v>157</v>
      </c>
      <c r="K43" s="343">
        <v>45687</v>
      </c>
      <c r="L43" s="140">
        <v>3.5</v>
      </c>
      <c r="M43" s="153">
        <f t="shared" si="2"/>
        <v>45997</v>
      </c>
      <c r="N43" s="155">
        <f t="shared" si="1"/>
        <v>45639</v>
      </c>
      <c r="O43" s="139">
        <f t="shared" si="3"/>
        <v>45619</v>
      </c>
      <c r="P43" s="139"/>
      <c r="Q43" t="s">
        <v>400</v>
      </c>
      <c r="R43" t="s">
        <v>327</v>
      </c>
      <c r="S43" s="206">
        <v>45660</v>
      </c>
      <c r="T43" t="s">
        <v>330</v>
      </c>
      <c r="U43">
        <v>21</v>
      </c>
      <c r="V43" t="s">
        <v>302</v>
      </c>
    </row>
    <row r="44" spans="1:22" x14ac:dyDescent="0.3">
      <c r="A44" s="51">
        <v>46</v>
      </c>
      <c r="B44" s="156" t="s">
        <v>273</v>
      </c>
      <c r="C44" s="127" t="s">
        <v>274</v>
      </c>
      <c r="D44" s="53" t="s">
        <v>275</v>
      </c>
      <c r="E44" s="53" t="s">
        <v>109</v>
      </c>
      <c r="F44" s="148">
        <v>43171</v>
      </c>
      <c r="G44" s="124" t="s">
        <v>184</v>
      </c>
      <c r="H44" s="64">
        <v>3</v>
      </c>
      <c r="I44" s="151">
        <v>45656</v>
      </c>
      <c r="J44" s="55" t="s">
        <v>160</v>
      </c>
      <c r="K44" s="343">
        <v>45687</v>
      </c>
      <c r="L44" s="140"/>
      <c r="M44" s="153">
        <f t="shared" si="2"/>
        <v>45997</v>
      </c>
      <c r="N44" s="155">
        <f t="shared" si="1"/>
        <v>45956</v>
      </c>
      <c r="O44" s="139"/>
      <c r="P44" s="139"/>
      <c r="Q44" t="s">
        <v>401</v>
      </c>
      <c r="R44" t="s">
        <v>325</v>
      </c>
      <c r="S44" s="206">
        <v>45712</v>
      </c>
      <c r="T44" t="s">
        <v>316</v>
      </c>
      <c r="U44">
        <v>21</v>
      </c>
      <c r="V44" t="s">
        <v>302</v>
      </c>
    </row>
    <row r="45" spans="1:22" x14ac:dyDescent="0.3">
      <c r="A45" s="159">
        <v>48</v>
      </c>
      <c r="B45" s="157">
        <v>799</v>
      </c>
      <c r="C45" s="128" t="s">
        <v>187</v>
      </c>
      <c r="D45" s="50" t="s">
        <v>284</v>
      </c>
      <c r="E45" s="53" t="s">
        <v>108</v>
      </c>
      <c r="F45" s="148">
        <v>43559</v>
      </c>
      <c r="G45" s="124" t="s">
        <v>222</v>
      </c>
      <c r="H45" s="64">
        <v>1</v>
      </c>
      <c r="I45" s="151">
        <v>45427</v>
      </c>
      <c r="J45" s="55" t="s">
        <v>160</v>
      </c>
      <c r="K45" s="343">
        <v>45687</v>
      </c>
      <c r="L45" s="140"/>
      <c r="M45" s="153">
        <f t="shared" si="2"/>
        <v>45997</v>
      </c>
      <c r="N45" s="155">
        <f t="shared" si="1"/>
        <v>45727</v>
      </c>
      <c r="O45" s="139"/>
      <c r="P45" s="139"/>
      <c r="Q45" t="s">
        <v>402</v>
      </c>
      <c r="R45" t="s">
        <v>325</v>
      </c>
      <c r="S45" s="206">
        <v>45717</v>
      </c>
      <c r="T45" t="s">
        <v>390</v>
      </c>
      <c r="U45">
        <v>21</v>
      </c>
      <c r="V45" t="s">
        <v>302</v>
      </c>
    </row>
    <row r="46" spans="1:22" x14ac:dyDescent="0.3">
      <c r="A46" s="51">
        <v>56</v>
      </c>
      <c r="B46" s="157">
        <v>796</v>
      </c>
      <c r="C46" s="128" t="s">
        <v>187</v>
      </c>
      <c r="D46" s="50" t="s">
        <v>92</v>
      </c>
      <c r="E46" s="53" t="s">
        <v>109</v>
      </c>
      <c r="F46" s="148">
        <v>43507</v>
      </c>
      <c r="G46" s="124" t="s">
        <v>184</v>
      </c>
      <c r="H46" s="64">
        <v>1</v>
      </c>
      <c r="I46" s="151">
        <v>45666</v>
      </c>
      <c r="J46" s="55" t="s">
        <v>160</v>
      </c>
      <c r="K46" s="343">
        <v>45687</v>
      </c>
      <c r="L46" s="140"/>
      <c r="M46" s="153">
        <f t="shared" si="2"/>
        <v>45997</v>
      </c>
      <c r="N46" s="155">
        <f t="shared" si="1"/>
        <v>45966</v>
      </c>
      <c r="O46" s="139"/>
      <c r="P46" s="139"/>
      <c r="Q46" t="s">
        <v>403</v>
      </c>
      <c r="R46" t="s">
        <v>325</v>
      </c>
      <c r="S46" s="206">
        <v>45750</v>
      </c>
      <c r="T46" t="s">
        <v>330</v>
      </c>
      <c r="U46">
        <v>21</v>
      </c>
      <c r="V46" t="s">
        <v>302</v>
      </c>
    </row>
    <row r="47" spans="1:22" x14ac:dyDescent="0.3">
      <c r="C47" s="123"/>
      <c r="D47" s="6"/>
      <c r="E47" s="6"/>
      <c r="F47" s="4"/>
      <c r="G47" s="123"/>
      <c r="H47" s="6"/>
      <c r="I47" s="4"/>
    </row>
    <row r="48" spans="1:22" x14ac:dyDescent="0.3">
      <c r="F48" s="4"/>
    </row>
    <row r="49" spans="6:6" x14ac:dyDescent="0.3">
      <c r="F49" s="4"/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A55"/>
  <sheetViews>
    <sheetView workbookViewId="0">
      <pane ySplit="1" topLeftCell="A29" activePane="bottomLeft" state="frozen"/>
      <selection pane="bottomLeft" activeCell="M2" sqref="M2:M52"/>
    </sheetView>
  </sheetViews>
  <sheetFormatPr defaultRowHeight="14.4" x14ac:dyDescent="0.3"/>
  <cols>
    <col min="2" max="2" width="9.109375" customWidth="1"/>
    <col min="3" max="3" width="8.33203125" customWidth="1"/>
    <col min="4" max="4" width="17.33203125" customWidth="1"/>
    <col min="5" max="5" width="14.33203125" bestFit="1" customWidth="1"/>
    <col min="6" max="6" width="13.6640625" customWidth="1"/>
    <col min="7" max="7" width="13.5546875" customWidth="1"/>
    <col min="8" max="8" width="12.109375" customWidth="1"/>
    <col min="9" max="9" width="15.44140625" bestFit="1" customWidth="1"/>
    <col min="10" max="10" width="9.33203125" customWidth="1"/>
    <col min="11" max="11" width="10.6640625" bestFit="1" customWidth="1"/>
    <col min="12" max="12" width="14.44140625" bestFit="1" customWidth="1"/>
    <col min="13" max="13" width="12.44140625" customWidth="1"/>
    <col min="14" max="14" width="10.33203125" customWidth="1"/>
    <col min="15" max="15" width="0" hidden="1" customWidth="1"/>
    <col min="16" max="16" width="13.109375" customWidth="1"/>
    <col min="17" max="17" width="23.21875" customWidth="1"/>
    <col min="18" max="18" width="20.109375" customWidth="1"/>
    <col min="19" max="19" width="24.88671875" customWidth="1"/>
    <col min="20" max="20" width="17.109375" customWidth="1"/>
    <col min="21" max="21" width="20.109375" customWidth="1"/>
    <col min="22" max="22" width="19" customWidth="1"/>
  </cols>
  <sheetData>
    <row r="1" spans="1:22" x14ac:dyDescent="0.3">
      <c r="A1" s="61" t="s">
        <v>0</v>
      </c>
      <c r="B1" s="61" t="s">
        <v>1</v>
      </c>
      <c r="C1" s="61" t="s">
        <v>186</v>
      </c>
      <c r="D1" s="61" t="s">
        <v>2</v>
      </c>
      <c r="E1" s="61" t="s">
        <v>104</v>
      </c>
      <c r="F1" s="61" t="s">
        <v>100</v>
      </c>
      <c r="G1" s="61" t="s">
        <v>198</v>
      </c>
      <c r="H1" s="61" t="s">
        <v>101</v>
      </c>
      <c r="I1" s="61" t="s">
        <v>158</v>
      </c>
      <c r="J1" s="61" t="s">
        <v>106</v>
      </c>
      <c r="K1" s="137" t="s">
        <v>99</v>
      </c>
      <c r="L1" s="61" t="s">
        <v>159</v>
      </c>
      <c r="M1" s="61" t="s">
        <v>97</v>
      </c>
      <c r="N1" s="61" t="s">
        <v>118</v>
      </c>
      <c r="O1" s="61" t="s">
        <v>118</v>
      </c>
      <c r="P1" s="61"/>
      <c r="Q1" s="67" t="s">
        <v>295</v>
      </c>
      <c r="R1" s="67" t="s">
        <v>296</v>
      </c>
      <c r="S1" s="67" t="s">
        <v>297</v>
      </c>
      <c r="T1" s="67" t="s">
        <v>298</v>
      </c>
      <c r="U1" s="67" t="s">
        <v>299</v>
      </c>
      <c r="V1" s="67" t="s">
        <v>300</v>
      </c>
    </row>
    <row r="2" spans="1:22" x14ac:dyDescent="0.3">
      <c r="A2" s="51">
        <v>1</v>
      </c>
      <c r="B2" s="146" t="s">
        <v>244</v>
      </c>
      <c r="C2" s="135" t="s">
        <v>215</v>
      </c>
      <c r="D2" s="134" t="s">
        <v>245</v>
      </c>
      <c r="E2" s="134" t="s">
        <v>108</v>
      </c>
      <c r="F2" s="149">
        <v>43177</v>
      </c>
      <c r="G2" s="130" t="s">
        <v>184</v>
      </c>
      <c r="H2" s="131">
        <v>3</v>
      </c>
      <c r="I2" s="152">
        <v>45626</v>
      </c>
      <c r="J2" s="132" t="s">
        <v>160</v>
      </c>
      <c r="K2" s="154">
        <v>45778</v>
      </c>
      <c r="L2" s="140"/>
      <c r="M2" s="153">
        <f>(315-((L2*30)+5))+$K$2</f>
        <v>46088</v>
      </c>
      <c r="N2" s="155">
        <f>I2+300</f>
        <v>45926</v>
      </c>
      <c r="O2" s="78">
        <f t="shared" ref="O2:O18" si="0">M2+280</f>
        <v>46368</v>
      </c>
      <c r="P2" s="139"/>
      <c r="Q2" t="s">
        <v>351</v>
      </c>
      <c r="R2" t="s">
        <v>325</v>
      </c>
      <c r="S2" s="206">
        <v>45905</v>
      </c>
      <c r="T2" t="s">
        <v>342</v>
      </c>
      <c r="U2">
        <v>24</v>
      </c>
      <c r="V2" t="s">
        <v>307</v>
      </c>
    </row>
    <row r="3" spans="1:22" x14ac:dyDescent="0.3">
      <c r="A3" s="189">
        <v>2</v>
      </c>
      <c r="B3" s="146" t="s">
        <v>252</v>
      </c>
      <c r="C3" s="135" t="s">
        <v>215</v>
      </c>
      <c r="D3" s="134" t="s">
        <v>253</v>
      </c>
      <c r="E3" s="134" t="s">
        <v>108</v>
      </c>
      <c r="F3" s="149">
        <v>43170</v>
      </c>
      <c r="G3" s="130" t="s">
        <v>222</v>
      </c>
      <c r="H3" s="131">
        <v>2</v>
      </c>
      <c r="I3" s="152">
        <v>45352</v>
      </c>
      <c r="J3" s="132" t="s">
        <v>157</v>
      </c>
      <c r="K3" s="154">
        <v>45778</v>
      </c>
      <c r="L3" s="140">
        <v>6</v>
      </c>
      <c r="M3" s="153">
        <f t="shared" ref="M3:M52" si="1">(315-((L3*30)+5))+$K$2</f>
        <v>45908</v>
      </c>
      <c r="N3" s="155">
        <f t="shared" ref="N3:N52" si="2">I3+300</f>
        <v>45652</v>
      </c>
      <c r="O3" s="78"/>
      <c r="P3" s="139"/>
      <c r="Q3" s="206">
        <v>45331</v>
      </c>
      <c r="R3" t="s">
        <v>157</v>
      </c>
      <c r="S3" s="206">
        <v>45331</v>
      </c>
      <c r="T3" t="s">
        <v>330</v>
      </c>
      <c r="U3">
        <v>21</v>
      </c>
      <c r="V3" t="s">
        <v>302</v>
      </c>
    </row>
    <row r="4" spans="1:22" x14ac:dyDescent="0.3">
      <c r="A4" s="51">
        <v>3</v>
      </c>
      <c r="B4" s="146" t="s">
        <v>57</v>
      </c>
      <c r="C4" s="135" t="s">
        <v>187</v>
      </c>
      <c r="D4" s="134" t="s">
        <v>58</v>
      </c>
      <c r="E4" s="134" t="s">
        <v>109</v>
      </c>
      <c r="F4" s="149">
        <v>41247</v>
      </c>
      <c r="G4" s="130" t="s">
        <v>222</v>
      </c>
      <c r="H4" s="131">
        <v>5</v>
      </c>
      <c r="I4" s="152">
        <v>45626</v>
      </c>
      <c r="J4" s="132" t="s">
        <v>160</v>
      </c>
      <c r="K4" s="154">
        <v>45778</v>
      </c>
      <c r="L4" s="158"/>
      <c r="M4" s="153">
        <f t="shared" si="1"/>
        <v>46088</v>
      </c>
      <c r="N4" s="155">
        <f t="shared" si="2"/>
        <v>45926</v>
      </c>
      <c r="O4" s="78">
        <f t="shared" si="0"/>
        <v>46368</v>
      </c>
      <c r="P4" s="139"/>
      <c r="Q4" t="s">
        <v>344</v>
      </c>
      <c r="R4" t="s">
        <v>325</v>
      </c>
      <c r="S4" s="206">
        <v>45905</v>
      </c>
      <c r="T4" t="s">
        <v>334</v>
      </c>
      <c r="U4">
        <v>23</v>
      </c>
      <c r="V4" t="s">
        <v>307</v>
      </c>
    </row>
    <row r="5" spans="1:22" x14ac:dyDescent="0.3">
      <c r="A5" s="189">
        <v>4</v>
      </c>
      <c r="B5" s="146" t="s">
        <v>240</v>
      </c>
      <c r="C5" s="135" t="s">
        <v>187</v>
      </c>
      <c r="D5" s="134" t="s">
        <v>241</v>
      </c>
      <c r="E5" s="134" t="s">
        <v>109</v>
      </c>
      <c r="F5" s="149">
        <v>41496</v>
      </c>
      <c r="G5" s="130" t="s">
        <v>222</v>
      </c>
      <c r="H5" s="131">
        <v>6</v>
      </c>
      <c r="I5" s="152">
        <v>45261</v>
      </c>
      <c r="J5" s="132" t="s">
        <v>157</v>
      </c>
      <c r="K5" s="154">
        <v>45778</v>
      </c>
      <c r="L5" s="140">
        <v>2.5</v>
      </c>
      <c r="M5" s="153">
        <f t="shared" si="1"/>
        <v>46013</v>
      </c>
      <c r="N5" s="155">
        <f t="shared" si="2"/>
        <v>45561</v>
      </c>
      <c r="O5" s="78">
        <f t="shared" si="0"/>
        <v>46293</v>
      </c>
      <c r="P5" s="139"/>
      <c r="Q5" s="206">
        <v>45240</v>
      </c>
      <c r="R5" t="s">
        <v>157</v>
      </c>
      <c r="S5" s="206">
        <v>45240</v>
      </c>
      <c r="T5" t="s">
        <v>330</v>
      </c>
      <c r="U5">
        <v>21</v>
      </c>
      <c r="V5" t="s">
        <v>302</v>
      </c>
    </row>
    <row r="6" spans="1:22" x14ac:dyDescent="0.3">
      <c r="A6" s="189">
        <v>5</v>
      </c>
      <c r="B6" s="136">
        <v>170309</v>
      </c>
      <c r="C6" s="133" t="s">
        <v>184</v>
      </c>
      <c r="D6" s="134" t="s">
        <v>238</v>
      </c>
      <c r="E6" s="134" t="s">
        <v>109</v>
      </c>
      <c r="F6" s="149">
        <v>42800</v>
      </c>
      <c r="G6" s="130" t="s">
        <v>222</v>
      </c>
      <c r="H6" s="131">
        <v>2</v>
      </c>
      <c r="I6" s="152">
        <v>45413</v>
      </c>
      <c r="J6" s="132" t="s">
        <v>157</v>
      </c>
      <c r="K6" s="154">
        <v>45778</v>
      </c>
      <c r="L6" s="158">
        <v>4</v>
      </c>
      <c r="M6" s="153">
        <f t="shared" si="1"/>
        <v>45968</v>
      </c>
      <c r="N6" s="155">
        <f t="shared" si="2"/>
        <v>45713</v>
      </c>
      <c r="O6" s="78">
        <f t="shared" si="0"/>
        <v>46248</v>
      </c>
      <c r="P6" s="139"/>
      <c r="Q6" s="206">
        <v>45392</v>
      </c>
      <c r="R6" t="s">
        <v>157</v>
      </c>
      <c r="S6" s="206">
        <v>45392</v>
      </c>
      <c r="T6" t="s">
        <v>316</v>
      </c>
      <c r="U6">
        <v>21</v>
      </c>
      <c r="V6" t="s">
        <v>302</v>
      </c>
    </row>
    <row r="7" spans="1:22" x14ac:dyDescent="0.3">
      <c r="A7" s="51">
        <v>6</v>
      </c>
      <c r="B7" s="146" t="s">
        <v>242</v>
      </c>
      <c r="C7" s="135" t="s">
        <v>187</v>
      </c>
      <c r="D7" s="134" t="s">
        <v>243</v>
      </c>
      <c r="E7" s="134" t="s">
        <v>109</v>
      </c>
      <c r="F7" s="149">
        <v>41526</v>
      </c>
      <c r="G7" s="130" t="s">
        <v>184</v>
      </c>
      <c r="H7" s="131">
        <v>6</v>
      </c>
      <c r="I7" s="152">
        <v>45681</v>
      </c>
      <c r="J7" s="132" t="s">
        <v>160</v>
      </c>
      <c r="K7" s="154">
        <v>45778</v>
      </c>
      <c r="L7" s="140"/>
      <c r="M7" s="153">
        <f t="shared" si="1"/>
        <v>46088</v>
      </c>
      <c r="N7" s="155">
        <f t="shared" si="2"/>
        <v>45981</v>
      </c>
      <c r="O7" s="78">
        <f t="shared" si="0"/>
        <v>46368</v>
      </c>
      <c r="P7" s="139"/>
      <c r="Q7" t="s">
        <v>352</v>
      </c>
      <c r="R7" t="s">
        <v>325</v>
      </c>
      <c r="S7" s="206">
        <v>45960</v>
      </c>
      <c r="T7" t="s">
        <v>342</v>
      </c>
      <c r="U7">
        <v>24</v>
      </c>
      <c r="V7" t="s">
        <v>307</v>
      </c>
    </row>
    <row r="8" spans="1:22" x14ac:dyDescent="0.3">
      <c r="A8" s="189">
        <v>7</v>
      </c>
      <c r="B8" s="156" t="s">
        <v>134</v>
      </c>
      <c r="C8" s="127" t="s">
        <v>187</v>
      </c>
      <c r="D8" s="53" t="s">
        <v>237</v>
      </c>
      <c r="E8" s="53" t="s">
        <v>109</v>
      </c>
      <c r="F8" s="148">
        <v>41436</v>
      </c>
      <c r="G8" s="124" t="s">
        <v>222</v>
      </c>
      <c r="H8" s="64">
        <v>4</v>
      </c>
      <c r="I8" s="151">
        <v>45323</v>
      </c>
      <c r="J8" s="55" t="s">
        <v>157</v>
      </c>
      <c r="K8" s="154">
        <v>45778</v>
      </c>
      <c r="L8" s="140">
        <v>3</v>
      </c>
      <c r="M8" s="153">
        <f t="shared" si="1"/>
        <v>45998</v>
      </c>
      <c r="N8" s="155">
        <f t="shared" si="2"/>
        <v>45623</v>
      </c>
      <c r="O8" s="78">
        <f t="shared" si="0"/>
        <v>46278</v>
      </c>
      <c r="P8" s="139"/>
      <c r="Q8" s="206">
        <v>45302</v>
      </c>
      <c r="R8" t="s">
        <v>157</v>
      </c>
      <c r="S8" s="206">
        <v>45302</v>
      </c>
      <c r="T8" t="s">
        <v>330</v>
      </c>
      <c r="U8">
        <v>21</v>
      </c>
      <c r="V8" t="s">
        <v>302</v>
      </c>
    </row>
    <row r="9" spans="1:22" x14ac:dyDescent="0.3">
      <c r="A9" s="189">
        <v>8</v>
      </c>
      <c r="B9" s="146" t="s">
        <v>21</v>
      </c>
      <c r="C9" s="135" t="s">
        <v>187</v>
      </c>
      <c r="D9" s="134" t="s">
        <v>22</v>
      </c>
      <c r="E9" s="134" t="s">
        <v>109</v>
      </c>
      <c r="F9" s="149">
        <v>41477</v>
      </c>
      <c r="G9" s="130" t="s">
        <v>222</v>
      </c>
      <c r="H9" s="131">
        <v>5</v>
      </c>
      <c r="I9" s="152">
        <v>45335</v>
      </c>
      <c r="J9" s="132" t="s">
        <v>285</v>
      </c>
      <c r="K9" s="154">
        <v>45778</v>
      </c>
      <c r="L9" s="142">
        <v>6</v>
      </c>
      <c r="M9" s="153">
        <f t="shared" si="1"/>
        <v>45908</v>
      </c>
      <c r="N9" s="155">
        <f t="shared" si="2"/>
        <v>45635</v>
      </c>
      <c r="O9" s="78">
        <f t="shared" si="0"/>
        <v>46188</v>
      </c>
      <c r="P9" s="139"/>
      <c r="Q9" s="206">
        <v>45314</v>
      </c>
      <c r="R9" t="s">
        <v>157</v>
      </c>
      <c r="S9" s="206">
        <v>45314</v>
      </c>
      <c r="T9" t="s">
        <v>316</v>
      </c>
      <c r="U9">
        <v>21</v>
      </c>
      <c r="V9" t="s">
        <v>302</v>
      </c>
    </row>
    <row r="10" spans="1:22" x14ac:dyDescent="0.3">
      <c r="A10" s="189">
        <v>9</v>
      </c>
      <c r="B10" s="146" t="s">
        <v>224</v>
      </c>
      <c r="C10" s="135" t="s">
        <v>184</v>
      </c>
      <c r="D10" s="134" t="s">
        <v>225</v>
      </c>
      <c r="E10" s="134" t="s">
        <v>108</v>
      </c>
      <c r="F10" s="149">
        <v>40704</v>
      </c>
      <c r="G10" s="130" t="s">
        <v>222</v>
      </c>
      <c r="H10" s="131">
        <v>6</v>
      </c>
      <c r="I10" s="152">
        <v>45357</v>
      </c>
      <c r="J10" s="132" t="s">
        <v>157</v>
      </c>
      <c r="K10" s="154">
        <v>45778</v>
      </c>
      <c r="L10" s="142">
        <v>6</v>
      </c>
      <c r="M10" s="153">
        <f t="shared" si="1"/>
        <v>45908</v>
      </c>
      <c r="N10" s="155">
        <f t="shared" si="2"/>
        <v>45657</v>
      </c>
      <c r="O10" s="78">
        <f t="shared" si="0"/>
        <v>46188</v>
      </c>
      <c r="P10" s="139"/>
      <c r="Q10" s="206">
        <v>45336</v>
      </c>
      <c r="R10" t="s">
        <v>157</v>
      </c>
      <c r="S10" s="206">
        <v>45336</v>
      </c>
      <c r="T10" t="s">
        <v>330</v>
      </c>
      <c r="U10">
        <v>21</v>
      </c>
      <c r="V10" t="s">
        <v>302</v>
      </c>
    </row>
    <row r="11" spans="1:22" x14ac:dyDescent="0.3">
      <c r="A11" s="51">
        <v>10</v>
      </c>
      <c r="B11" s="146" t="s">
        <v>133</v>
      </c>
      <c r="C11" s="135" t="s">
        <v>187</v>
      </c>
      <c r="D11" s="134" t="s">
        <v>223</v>
      </c>
      <c r="E11" s="134" t="s">
        <v>109</v>
      </c>
      <c r="F11" s="149">
        <v>41319</v>
      </c>
      <c r="G11" s="130" t="s">
        <v>222</v>
      </c>
      <c r="H11" s="131">
        <v>4</v>
      </c>
      <c r="I11" s="152">
        <v>45205</v>
      </c>
      <c r="J11" s="132" t="s">
        <v>160</v>
      </c>
      <c r="K11" s="154">
        <v>45778</v>
      </c>
      <c r="L11" s="142"/>
      <c r="M11" s="153">
        <f t="shared" si="1"/>
        <v>46088</v>
      </c>
      <c r="N11" s="155">
        <f t="shared" si="2"/>
        <v>45505</v>
      </c>
      <c r="O11" s="78">
        <f t="shared" si="0"/>
        <v>46368</v>
      </c>
      <c r="P11" s="139"/>
      <c r="Q11" t="s">
        <v>353</v>
      </c>
      <c r="R11" t="s">
        <v>325</v>
      </c>
      <c r="S11" s="206">
        <v>45484</v>
      </c>
      <c r="T11" t="s">
        <v>342</v>
      </c>
      <c r="U11">
        <v>25</v>
      </c>
      <c r="V11" t="s">
        <v>307</v>
      </c>
    </row>
    <row r="12" spans="1:22" x14ac:dyDescent="0.3">
      <c r="A12" s="51">
        <v>11</v>
      </c>
      <c r="B12" s="146" t="s">
        <v>231</v>
      </c>
      <c r="C12" s="135" t="s">
        <v>215</v>
      </c>
      <c r="D12" s="134" t="s">
        <v>232</v>
      </c>
      <c r="E12" s="134" t="s">
        <v>109</v>
      </c>
      <c r="F12" s="149">
        <v>41428</v>
      </c>
      <c r="G12" s="130" t="s">
        <v>222</v>
      </c>
      <c r="H12" s="131">
        <v>6</v>
      </c>
      <c r="I12" s="152">
        <v>45324</v>
      </c>
      <c r="J12" s="132" t="s">
        <v>160</v>
      </c>
      <c r="K12" s="154">
        <v>45778</v>
      </c>
      <c r="L12" s="142"/>
      <c r="M12" s="153">
        <f t="shared" si="1"/>
        <v>46088</v>
      </c>
      <c r="N12" s="155">
        <f t="shared" si="2"/>
        <v>45624</v>
      </c>
      <c r="O12" s="78">
        <f t="shared" si="0"/>
        <v>46368</v>
      </c>
      <c r="P12" s="139"/>
      <c r="Q12" t="s">
        <v>354</v>
      </c>
      <c r="R12" t="s">
        <v>325</v>
      </c>
      <c r="S12" s="206">
        <v>45603</v>
      </c>
      <c r="T12" t="s">
        <v>342</v>
      </c>
      <c r="U12">
        <v>24</v>
      </c>
      <c r="V12" t="s">
        <v>307</v>
      </c>
    </row>
    <row r="13" spans="1:22" x14ac:dyDescent="0.3">
      <c r="A13" s="51">
        <v>12</v>
      </c>
      <c r="B13" s="146" t="s">
        <v>227</v>
      </c>
      <c r="C13" s="135" t="s">
        <v>215</v>
      </c>
      <c r="D13" s="134" t="s">
        <v>228</v>
      </c>
      <c r="E13" s="134" t="s">
        <v>108</v>
      </c>
      <c r="F13" s="149">
        <v>41826</v>
      </c>
      <c r="G13" s="130" t="s">
        <v>222</v>
      </c>
      <c r="H13" s="131">
        <v>4</v>
      </c>
      <c r="I13" s="152">
        <v>45606</v>
      </c>
      <c r="J13" s="132" t="s">
        <v>160</v>
      </c>
      <c r="K13" s="154">
        <v>45778</v>
      </c>
      <c r="L13" s="142"/>
      <c r="M13" s="153">
        <f t="shared" si="1"/>
        <v>46088</v>
      </c>
      <c r="N13" s="155">
        <f t="shared" si="2"/>
        <v>45906</v>
      </c>
      <c r="O13" s="78">
        <f t="shared" si="0"/>
        <v>46368</v>
      </c>
      <c r="P13" s="139"/>
      <c r="Q13" t="s">
        <v>355</v>
      </c>
      <c r="R13" t="s">
        <v>325</v>
      </c>
      <c r="S13" s="206">
        <v>45885</v>
      </c>
      <c r="T13" t="s">
        <v>342</v>
      </c>
      <c r="U13">
        <v>23</v>
      </c>
      <c r="V13" t="s">
        <v>307</v>
      </c>
    </row>
    <row r="14" spans="1:22" x14ac:dyDescent="0.3">
      <c r="A14" s="189">
        <v>13</v>
      </c>
      <c r="B14" s="146" t="s">
        <v>136</v>
      </c>
      <c r="C14" s="135" t="s">
        <v>187</v>
      </c>
      <c r="D14" s="134" t="s">
        <v>226</v>
      </c>
      <c r="E14" s="134" t="s">
        <v>109</v>
      </c>
      <c r="F14" s="149">
        <v>41431</v>
      </c>
      <c r="G14" s="130" t="s">
        <v>222</v>
      </c>
      <c r="H14" s="131">
        <v>3</v>
      </c>
      <c r="I14" s="152">
        <v>45232</v>
      </c>
      <c r="J14" s="132" t="s">
        <v>276</v>
      </c>
      <c r="K14" s="154">
        <v>45778</v>
      </c>
      <c r="L14" s="142">
        <v>1</v>
      </c>
      <c r="M14" s="153">
        <f t="shared" si="1"/>
        <v>46058</v>
      </c>
      <c r="N14" s="155">
        <f t="shared" si="2"/>
        <v>45532</v>
      </c>
      <c r="O14" s="78">
        <f t="shared" si="0"/>
        <v>46338</v>
      </c>
      <c r="P14" s="139"/>
      <c r="Q14" s="206">
        <v>45056</v>
      </c>
      <c r="R14" t="s">
        <v>160</v>
      </c>
      <c r="S14" s="206">
        <v>45511</v>
      </c>
      <c r="T14" t="s">
        <v>316</v>
      </c>
      <c r="U14">
        <v>18</v>
      </c>
      <c r="V14" t="s">
        <v>307</v>
      </c>
    </row>
    <row r="15" spans="1:22" x14ac:dyDescent="0.3">
      <c r="A15" s="190">
        <v>14</v>
      </c>
      <c r="B15" s="146" t="s">
        <v>220</v>
      </c>
      <c r="C15" s="135" t="s">
        <v>184</v>
      </c>
      <c r="D15" s="134" t="s">
        <v>221</v>
      </c>
      <c r="E15" s="134" t="s">
        <v>108</v>
      </c>
      <c r="F15" s="149">
        <v>43128</v>
      </c>
      <c r="G15" s="130" t="s">
        <v>222</v>
      </c>
      <c r="H15" s="131">
        <v>2</v>
      </c>
      <c r="I15" s="152">
        <v>45303</v>
      </c>
      <c r="J15" s="132" t="s">
        <v>157</v>
      </c>
      <c r="K15" s="154">
        <v>45778</v>
      </c>
      <c r="L15" s="142">
        <v>5.5</v>
      </c>
      <c r="M15" s="153">
        <f t="shared" si="1"/>
        <v>45923</v>
      </c>
      <c r="N15" s="155">
        <f t="shared" si="2"/>
        <v>45603</v>
      </c>
      <c r="O15" s="78">
        <f t="shared" si="0"/>
        <v>46203</v>
      </c>
      <c r="P15" s="143"/>
      <c r="Q15" s="206">
        <v>45282</v>
      </c>
      <c r="R15" t="s">
        <v>157</v>
      </c>
      <c r="S15" s="206">
        <v>45282</v>
      </c>
      <c r="T15" t="s">
        <v>330</v>
      </c>
      <c r="U15">
        <v>21</v>
      </c>
      <c r="V15" t="s">
        <v>302</v>
      </c>
    </row>
    <row r="16" spans="1:22" x14ac:dyDescent="0.3">
      <c r="A16" s="51">
        <v>15</v>
      </c>
      <c r="B16" s="136" t="s">
        <v>218</v>
      </c>
      <c r="C16" s="133" t="s">
        <v>184</v>
      </c>
      <c r="D16" s="134" t="s">
        <v>219</v>
      </c>
      <c r="E16" s="134" t="s">
        <v>108</v>
      </c>
      <c r="F16" s="149">
        <v>42751</v>
      </c>
      <c r="G16" s="130" t="s">
        <v>184</v>
      </c>
      <c r="H16" s="131">
        <v>4</v>
      </c>
      <c r="I16" s="152">
        <v>45712</v>
      </c>
      <c r="J16" s="132" t="s">
        <v>160</v>
      </c>
      <c r="K16" s="154">
        <v>45778</v>
      </c>
      <c r="L16" s="142"/>
      <c r="M16" s="153">
        <f t="shared" si="1"/>
        <v>46088</v>
      </c>
      <c r="N16" s="155">
        <f t="shared" si="2"/>
        <v>46012</v>
      </c>
      <c r="O16" s="78">
        <f t="shared" si="0"/>
        <v>46368</v>
      </c>
      <c r="P16" s="139"/>
      <c r="Q16" t="s">
        <v>356</v>
      </c>
      <c r="R16" t="s">
        <v>325</v>
      </c>
      <c r="S16" s="206">
        <v>45991</v>
      </c>
      <c r="T16" t="s">
        <v>342</v>
      </c>
      <c r="U16">
        <v>24</v>
      </c>
      <c r="V16" t="s">
        <v>307</v>
      </c>
    </row>
    <row r="17" spans="1:339" x14ac:dyDescent="0.3">
      <c r="A17" s="189">
        <v>16</v>
      </c>
      <c r="B17" s="156" t="s">
        <v>217</v>
      </c>
      <c r="C17" s="127" t="s">
        <v>187</v>
      </c>
      <c r="D17" s="53" t="s">
        <v>213</v>
      </c>
      <c r="E17" s="53" t="s">
        <v>109</v>
      </c>
      <c r="F17" s="148">
        <v>42020</v>
      </c>
      <c r="G17" s="124" t="s">
        <v>222</v>
      </c>
      <c r="H17" s="64">
        <v>3</v>
      </c>
      <c r="I17" s="151">
        <v>45458</v>
      </c>
      <c r="J17" s="55" t="s">
        <v>157</v>
      </c>
      <c r="K17" s="154">
        <v>45778</v>
      </c>
      <c r="L17" s="140">
        <v>6</v>
      </c>
      <c r="M17" s="153">
        <f t="shared" si="1"/>
        <v>45908</v>
      </c>
      <c r="N17" s="155">
        <f t="shared" si="2"/>
        <v>45758</v>
      </c>
      <c r="O17" s="78">
        <f t="shared" si="0"/>
        <v>46188</v>
      </c>
      <c r="P17" s="139"/>
      <c r="Q17" s="206">
        <v>45437</v>
      </c>
      <c r="R17" t="s">
        <v>157</v>
      </c>
      <c r="S17" s="206">
        <v>45437</v>
      </c>
      <c r="T17" t="s">
        <v>330</v>
      </c>
      <c r="U17">
        <v>21</v>
      </c>
      <c r="V17" t="s">
        <v>302</v>
      </c>
    </row>
    <row r="18" spans="1:339" x14ac:dyDescent="0.3">
      <c r="A18" s="51">
        <v>17</v>
      </c>
      <c r="B18" s="156" t="s">
        <v>211</v>
      </c>
      <c r="C18" s="127" t="s">
        <v>187</v>
      </c>
      <c r="D18" s="53" t="s">
        <v>212</v>
      </c>
      <c r="E18" s="53" t="s">
        <v>109</v>
      </c>
      <c r="F18" s="148">
        <v>41719</v>
      </c>
      <c r="G18" s="124" t="s">
        <v>184</v>
      </c>
      <c r="H18" s="64">
        <v>2</v>
      </c>
      <c r="I18" s="151">
        <v>45592</v>
      </c>
      <c r="J18" s="55" t="s">
        <v>160</v>
      </c>
      <c r="K18" s="154">
        <v>45778</v>
      </c>
      <c r="L18" s="140"/>
      <c r="M18" s="153">
        <f t="shared" si="1"/>
        <v>46088</v>
      </c>
      <c r="N18" s="155">
        <f t="shared" si="2"/>
        <v>45892</v>
      </c>
      <c r="O18" s="78">
        <f t="shared" si="0"/>
        <v>46368</v>
      </c>
      <c r="P18" s="139"/>
      <c r="Q18" t="s">
        <v>357</v>
      </c>
      <c r="R18" t="s">
        <v>325</v>
      </c>
      <c r="S18" s="206">
        <v>45871</v>
      </c>
      <c r="T18" t="s">
        <v>342</v>
      </c>
      <c r="U18">
        <v>24</v>
      </c>
      <c r="V18" t="s">
        <v>307</v>
      </c>
    </row>
    <row r="19" spans="1:339" x14ac:dyDescent="0.3">
      <c r="A19" s="51">
        <v>18</v>
      </c>
      <c r="B19" s="156" t="s">
        <v>209</v>
      </c>
      <c r="C19" s="127" t="s">
        <v>184</v>
      </c>
      <c r="D19" s="53" t="s">
        <v>210</v>
      </c>
      <c r="E19" s="53" t="s">
        <v>109</v>
      </c>
      <c r="F19" s="148">
        <v>40909</v>
      </c>
      <c r="G19" s="124" t="s">
        <v>184</v>
      </c>
      <c r="H19" s="64">
        <v>5</v>
      </c>
      <c r="I19" s="151">
        <v>45603</v>
      </c>
      <c r="J19" s="55" t="s">
        <v>160</v>
      </c>
      <c r="K19" s="154">
        <v>45778</v>
      </c>
      <c r="L19" s="140"/>
      <c r="M19" s="153">
        <f t="shared" si="1"/>
        <v>46088</v>
      </c>
      <c r="N19" s="155">
        <f t="shared" si="2"/>
        <v>45903</v>
      </c>
      <c r="O19" s="78">
        <f>I19+280</f>
        <v>45883</v>
      </c>
      <c r="P19" s="139"/>
      <c r="Q19" t="s">
        <v>358</v>
      </c>
      <c r="R19" t="s">
        <v>325</v>
      </c>
      <c r="S19" s="206">
        <v>45878</v>
      </c>
      <c r="T19" t="s">
        <v>334</v>
      </c>
      <c r="U19">
        <v>23</v>
      </c>
      <c r="V19" t="s">
        <v>307</v>
      </c>
    </row>
    <row r="20" spans="1:339" x14ac:dyDescent="0.3">
      <c r="A20" s="51">
        <v>19</v>
      </c>
      <c r="B20" s="156" t="s">
        <v>208</v>
      </c>
      <c r="C20" s="127" t="s">
        <v>184</v>
      </c>
      <c r="D20" s="53" t="s">
        <v>34</v>
      </c>
      <c r="E20" s="53" t="s">
        <v>109</v>
      </c>
      <c r="F20" s="148">
        <v>42912</v>
      </c>
      <c r="G20" s="124" t="s">
        <v>184</v>
      </c>
      <c r="H20" s="64">
        <v>2</v>
      </c>
      <c r="I20" s="151">
        <v>45595</v>
      </c>
      <c r="J20" s="55" t="s">
        <v>160</v>
      </c>
      <c r="K20" s="154">
        <v>45778</v>
      </c>
      <c r="L20" s="140"/>
      <c r="M20" s="153">
        <f t="shared" si="1"/>
        <v>46088</v>
      </c>
      <c r="N20" s="155">
        <f t="shared" si="2"/>
        <v>45895</v>
      </c>
      <c r="O20" s="78">
        <f t="shared" ref="O20:O40" si="3">I20+280</f>
        <v>45875</v>
      </c>
      <c r="P20" s="139"/>
      <c r="Q20" t="s">
        <v>359</v>
      </c>
      <c r="R20" t="s">
        <v>325</v>
      </c>
      <c r="S20" s="206">
        <v>45874</v>
      </c>
      <c r="T20" t="s">
        <v>342</v>
      </c>
      <c r="U20">
        <v>24</v>
      </c>
      <c r="V20" t="s">
        <v>307</v>
      </c>
    </row>
    <row r="21" spans="1:339" x14ac:dyDescent="0.3">
      <c r="A21" s="191">
        <v>20</v>
      </c>
      <c r="B21" s="192" t="s">
        <v>214</v>
      </c>
      <c r="C21" s="193" t="s">
        <v>215</v>
      </c>
      <c r="D21" s="194" t="s">
        <v>216</v>
      </c>
      <c r="E21" s="194" t="s">
        <v>109</v>
      </c>
      <c r="F21" s="195">
        <v>41459</v>
      </c>
      <c r="G21" s="196" t="s">
        <v>184</v>
      </c>
      <c r="H21" s="197">
        <v>6</v>
      </c>
      <c r="I21" s="195">
        <v>45626</v>
      </c>
      <c r="J21" s="198" t="s">
        <v>160</v>
      </c>
      <c r="K21" s="154">
        <v>45778</v>
      </c>
      <c r="L21" s="200"/>
      <c r="M21" s="153">
        <f t="shared" si="1"/>
        <v>46088</v>
      </c>
      <c r="N21" s="201">
        <f t="shared" si="2"/>
        <v>45926</v>
      </c>
      <c r="O21" s="198">
        <f t="shared" si="3"/>
        <v>45906</v>
      </c>
      <c r="P21" s="202" t="s">
        <v>111</v>
      </c>
      <c r="Q21" t="s">
        <v>355</v>
      </c>
      <c r="R21" t="s">
        <v>325</v>
      </c>
      <c r="S21" s="206">
        <v>45905</v>
      </c>
      <c r="T21" t="s">
        <v>334</v>
      </c>
      <c r="U21" t="s">
        <v>335</v>
      </c>
      <c r="V21" t="s">
        <v>307</v>
      </c>
    </row>
    <row r="22" spans="1:339" x14ac:dyDescent="0.3">
      <c r="A22" s="51">
        <v>21</v>
      </c>
      <c r="B22" s="156" t="s">
        <v>206</v>
      </c>
      <c r="C22" s="127" t="s">
        <v>184</v>
      </c>
      <c r="D22" s="53" t="s">
        <v>207</v>
      </c>
      <c r="E22" s="53" t="s">
        <v>108</v>
      </c>
      <c r="F22" s="148">
        <v>40544</v>
      </c>
      <c r="G22" s="124" t="s">
        <v>184</v>
      </c>
      <c r="H22" s="64">
        <v>6</v>
      </c>
      <c r="I22" s="151">
        <v>45638</v>
      </c>
      <c r="J22" s="55" t="s">
        <v>160</v>
      </c>
      <c r="K22" s="154">
        <v>45700</v>
      </c>
      <c r="L22" s="140"/>
      <c r="M22" s="153">
        <f t="shared" si="1"/>
        <v>46088</v>
      </c>
      <c r="N22" s="155">
        <f t="shared" si="2"/>
        <v>45938</v>
      </c>
      <c r="O22" s="78">
        <f t="shared" si="3"/>
        <v>45918</v>
      </c>
      <c r="P22" s="141"/>
      <c r="Q22" t="s">
        <v>360</v>
      </c>
      <c r="R22" t="s">
        <v>325</v>
      </c>
      <c r="S22" s="206">
        <v>45917</v>
      </c>
      <c r="T22" t="s">
        <v>342</v>
      </c>
      <c r="U22">
        <v>24</v>
      </c>
      <c r="V22" t="s">
        <v>307</v>
      </c>
    </row>
    <row r="23" spans="1:339" x14ac:dyDescent="0.3">
      <c r="A23" s="51">
        <v>22</v>
      </c>
      <c r="B23" s="156" t="s">
        <v>204</v>
      </c>
      <c r="C23" s="127" t="s">
        <v>184</v>
      </c>
      <c r="D23" s="53" t="s">
        <v>194</v>
      </c>
      <c r="E23" s="53" t="s">
        <v>108</v>
      </c>
      <c r="F23" s="148">
        <v>43112</v>
      </c>
      <c r="G23" s="124" t="s">
        <v>184</v>
      </c>
      <c r="H23" s="64">
        <v>2</v>
      </c>
      <c r="I23" s="151">
        <v>45626</v>
      </c>
      <c r="J23" s="55" t="s">
        <v>160</v>
      </c>
      <c r="K23" s="154">
        <v>45778</v>
      </c>
      <c r="L23" s="140"/>
      <c r="M23" s="153">
        <f>(315-((L23*30)+5))+$K$2</f>
        <v>46088</v>
      </c>
      <c r="N23" s="155">
        <f t="shared" si="2"/>
        <v>45926</v>
      </c>
      <c r="O23" s="78">
        <f t="shared" si="3"/>
        <v>45906</v>
      </c>
      <c r="P23" s="139"/>
      <c r="Q23" t="s">
        <v>355</v>
      </c>
      <c r="R23" t="s">
        <v>325</v>
      </c>
      <c r="S23" s="206">
        <v>45905</v>
      </c>
      <c r="T23" t="s">
        <v>342</v>
      </c>
      <c r="U23">
        <v>23</v>
      </c>
      <c r="V23" t="s">
        <v>307</v>
      </c>
    </row>
    <row r="24" spans="1:339" s="188" customFormat="1" x14ac:dyDescent="0.3">
      <c r="A24" s="191">
        <v>23</v>
      </c>
      <c r="B24" s="192" t="s">
        <v>31</v>
      </c>
      <c r="C24" s="193" t="s">
        <v>187</v>
      </c>
      <c r="D24" s="194" t="s">
        <v>205</v>
      </c>
      <c r="E24" s="194" t="s">
        <v>109</v>
      </c>
      <c r="F24" s="195">
        <v>39094</v>
      </c>
      <c r="G24" s="196" t="s">
        <v>222</v>
      </c>
      <c r="H24" s="197">
        <v>6</v>
      </c>
      <c r="I24" s="195">
        <v>45432</v>
      </c>
      <c r="J24" s="198" t="s">
        <v>160</v>
      </c>
      <c r="K24" s="154">
        <v>45778</v>
      </c>
      <c r="L24" s="200"/>
      <c r="M24" s="153">
        <f t="shared" si="1"/>
        <v>46088</v>
      </c>
      <c r="N24" s="201">
        <f t="shared" si="2"/>
        <v>45732</v>
      </c>
      <c r="O24" s="198">
        <f t="shared" si="3"/>
        <v>45712</v>
      </c>
      <c r="P24" s="202" t="s">
        <v>111</v>
      </c>
      <c r="Q24" t="s">
        <v>361</v>
      </c>
      <c r="R24" t="s">
        <v>325</v>
      </c>
      <c r="S24" s="206">
        <v>45710</v>
      </c>
      <c r="T24" t="s">
        <v>334</v>
      </c>
      <c r="U24" t="s">
        <v>335</v>
      </c>
      <c r="V24" t="s">
        <v>307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</row>
    <row r="25" spans="1:339" s="187" customFormat="1" x14ac:dyDescent="0.3">
      <c r="A25" s="51">
        <v>24</v>
      </c>
      <c r="B25" s="179" t="s">
        <v>202</v>
      </c>
      <c r="C25" s="180" t="s">
        <v>184</v>
      </c>
      <c r="D25" s="181" t="s">
        <v>203</v>
      </c>
      <c r="E25" s="181" t="s">
        <v>108</v>
      </c>
      <c r="F25" s="182">
        <v>42741</v>
      </c>
      <c r="G25" s="183" t="s">
        <v>184</v>
      </c>
      <c r="H25" s="184">
        <v>2</v>
      </c>
      <c r="I25" s="182">
        <v>45610</v>
      </c>
      <c r="J25" s="55" t="s">
        <v>160</v>
      </c>
      <c r="K25" s="154">
        <v>45778</v>
      </c>
      <c r="L25" s="41"/>
      <c r="M25" s="153">
        <f t="shared" si="1"/>
        <v>46088</v>
      </c>
      <c r="N25" s="186">
        <f t="shared" si="2"/>
        <v>45910</v>
      </c>
      <c r="O25" s="185">
        <f t="shared" si="3"/>
        <v>45890</v>
      </c>
      <c r="Q25" s="206">
        <v>45610</v>
      </c>
      <c r="R25" t="s">
        <v>160</v>
      </c>
      <c r="S25" s="206">
        <v>45610</v>
      </c>
      <c r="T25" t="s">
        <v>330</v>
      </c>
      <c r="U25">
        <v>21</v>
      </c>
      <c r="V25" t="s">
        <v>302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</row>
    <row r="26" spans="1:339" x14ac:dyDescent="0.3">
      <c r="A26" s="51">
        <v>25</v>
      </c>
      <c r="B26" s="156" t="s">
        <v>19</v>
      </c>
      <c r="C26" s="127" t="s">
        <v>187</v>
      </c>
      <c r="D26" s="53" t="s">
        <v>201</v>
      </c>
      <c r="E26" s="129" t="s">
        <v>109</v>
      </c>
      <c r="F26" s="148">
        <v>41010</v>
      </c>
      <c r="G26" s="124" t="s">
        <v>184</v>
      </c>
      <c r="H26" s="64">
        <v>6</v>
      </c>
      <c r="I26" s="151">
        <v>45598</v>
      </c>
      <c r="J26" s="55" t="s">
        <v>160</v>
      </c>
      <c r="K26" s="154">
        <v>45778</v>
      </c>
      <c r="L26" s="140"/>
      <c r="M26" s="153">
        <f t="shared" si="1"/>
        <v>46088</v>
      </c>
      <c r="N26" s="155">
        <f>I26+300</f>
        <v>45898</v>
      </c>
      <c r="O26" s="78">
        <f t="shared" si="3"/>
        <v>45878</v>
      </c>
      <c r="P26" s="139"/>
      <c r="Q26" s="206">
        <v>45598</v>
      </c>
      <c r="R26" t="s">
        <v>160</v>
      </c>
      <c r="S26" s="206">
        <v>45598</v>
      </c>
      <c r="T26" t="s">
        <v>316</v>
      </c>
      <c r="U26">
        <v>21</v>
      </c>
      <c r="V26" t="s">
        <v>302</v>
      </c>
    </row>
    <row r="27" spans="1:339" x14ac:dyDescent="0.3">
      <c r="A27" s="51">
        <v>26</v>
      </c>
      <c r="B27" s="156" t="s">
        <v>199</v>
      </c>
      <c r="C27" s="127" t="s">
        <v>184</v>
      </c>
      <c r="D27" s="53" t="s">
        <v>200</v>
      </c>
      <c r="E27" s="53" t="s">
        <v>108</v>
      </c>
      <c r="F27" s="148">
        <v>43139</v>
      </c>
      <c r="G27" s="124" t="s">
        <v>222</v>
      </c>
      <c r="H27" s="64">
        <v>1</v>
      </c>
      <c r="I27" s="151">
        <v>45001</v>
      </c>
      <c r="J27" s="55" t="s">
        <v>160</v>
      </c>
      <c r="K27" s="154">
        <v>45778</v>
      </c>
      <c r="L27" s="140"/>
      <c r="M27" s="153">
        <f t="shared" si="1"/>
        <v>46088</v>
      </c>
      <c r="N27" s="155">
        <f t="shared" si="2"/>
        <v>45301</v>
      </c>
      <c r="O27" s="78">
        <f t="shared" si="3"/>
        <v>45281</v>
      </c>
      <c r="P27" s="139"/>
      <c r="Q27" s="206">
        <v>45001</v>
      </c>
      <c r="R27" t="s">
        <v>160</v>
      </c>
      <c r="S27" s="206">
        <v>45001</v>
      </c>
      <c r="T27" t="s">
        <v>316</v>
      </c>
      <c r="U27">
        <v>21</v>
      </c>
      <c r="V27" t="s">
        <v>302</v>
      </c>
    </row>
    <row r="28" spans="1:339" x14ac:dyDescent="0.3">
      <c r="A28" s="51">
        <v>27</v>
      </c>
      <c r="B28" s="156" t="s">
        <v>196</v>
      </c>
      <c r="C28" s="127" t="s">
        <v>184</v>
      </c>
      <c r="D28" s="53" t="s">
        <v>197</v>
      </c>
      <c r="E28" s="53" t="s">
        <v>108</v>
      </c>
      <c r="F28" s="148">
        <v>42748</v>
      </c>
      <c r="G28" s="124" t="s">
        <v>184</v>
      </c>
      <c r="H28" s="64">
        <v>2</v>
      </c>
      <c r="I28" s="151">
        <v>45625</v>
      </c>
      <c r="J28" s="55" t="s">
        <v>160</v>
      </c>
      <c r="K28" s="154">
        <v>45778</v>
      </c>
      <c r="L28" s="140"/>
      <c r="M28" s="153">
        <f t="shared" si="1"/>
        <v>46088</v>
      </c>
      <c r="N28" s="155">
        <f t="shared" si="2"/>
        <v>45925</v>
      </c>
      <c r="O28" s="78">
        <f t="shared" si="3"/>
        <v>45905</v>
      </c>
      <c r="P28" s="139"/>
      <c r="Q28" s="206">
        <v>45625</v>
      </c>
      <c r="R28" t="s">
        <v>160</v>
      </c>
      <c r="S28" s="206">
        <v>45625</v>
      </c>
      <c r="T28" t="s">
        <v>330</v>
      </c>
      <c r="U28">
        <v>21</v>
      </c>
      <c r="V28" t="s">
        <v>302</v>
      </c>
    </row>
    <row r="29" spans="1:339" x14ac:dyDescent="0.3">
      <c r="A29" s="189">
        <v>28</v>
      </c>
      <c r="B29" s="156" t="s">
        <v>193</v>
      </c>
      <c r="C29" s="127" t="s">
        <v>184</v>
      </c>
      <c r="D29" s="53" t="s">
        <v>195</v>
      </c>
      <c r="E29" s="53" t="s">
        <v>108</v>
      </c>
      <c r="F29" s="148">
        <v>43099</v>
      </c>
      <c r="G29" s="124" t="s">
        <v>222</v>
      </c>
      <c r="H29" s="64">
        <v>1</v>
      </c>
      <c r="I29" s="151">
        <v>45009</v>
      </c>
      <c r="J29" s="55" t="s">
        <v>276</v>
      </c>
      <c r="K29" s="154">
        <v>45778</v>
      </c>
      <c r="L29" s="140">
        <v>1</v>
      </c>
      <c r="M29" s="153">
        <f t="shared" si="1"/>
        <v>46058</v>
      </c>
      <c r="N29" s="155">
        <f t="shared" si="2"/>
        <v>45309</v>
      </c>
      <c r="O29" s="78">
        <f t="shared" si="3"/>
        <v>45289</v>
      </c>
      <c r="P29" s="139"/>
      <c r="Q29" s="206">
        <v>45009</v>
      </c>
      <c r="R29" t="s">
        <v>160</v>
      </c>
      <c r="S29" s="206">
        <v>45009</v>
      </c>
      <c r="T29" t="s">
        <v>330</v>
      </c>
      <c r="U29">
        <v>21</v>
      </c>
      <c r="V29" t="s">
        <v>307</v>
      </c>
    </row>
    <row r="30" spans="1:339" x14ac:dyDescent="0.3">
      <c r="A30" s="189">
        <v>29</v>
      </c>
      <c r="B30" s="156" t="s">
        <v>191</v>
      </c>
      <c r="C30" s="127" t="s">
        <v>184</v>
      </c>
      <c r="D30" s="53" t="s">
        <v>192</v>
      </c>
      <c r="E30" s="53" t="s">
        <v>108</v>
      </c>
      <c r="F30" s="148">
        <v>43140</v>
      </c>
      <c r="G30" s="124" t="s">
        <v>222</v>
      </c>
      <c r="H30" s="64">
        <v>1</v>
      </c>
      <c r="I30" s="151">
        <v>45012</v>
      </c>
      <c r="J30" s="55" t="s">
        <v>276</v>
      </c>
      <c r="K30" s="154">
        <v>45778</v>
      </c>
      <c r="L30" s="140">
        <v>1</v>
      </c>
      <c r="M30" s="153">
        <f t="shared" si="1"/>
        <v>46058</v>
      </c>
      <c r="N30" s="155">
        <f t="shared" si="2"/>
        <v>45312</v>
      </c>
      <c r="O30" s="78">
        <f t="shared" si="3"/>
        <v>45292</v>
      </c>
      <c r="P30" s="139"/>
      <c r="Q30" s="206">
        <v>45012</v>
      </c>
      <c r="R30" t="s">
        <v>160</v>
      </c>
      <c r="S30" s="206">
        <v>45012</v>
      </c>
      <c r="T30" t="s">
        <v>316</v>
      </c>
      <c r="U30">
        <v>21</v>
      </c>
      <c r="V30" t="s">
        <v>307</v>
      </c>
    </row>
    <row r="31" spans="1:339" x14ac:dyDescent="0.3">
      <c r="A31" s="51">
        <v>30</v>
      </c>
      <c r="B31" s="156" t="s">
        <v>188</v>
      </c>
      <c r="C31" s="127" t="s">
        <v>184</v>
      </c>
      <c r="D31" s="53" t="s">
        <v>190</v>
      </c>
      <c r="E31" s="53" t="s">
        <v>108</v>
      </c>
      <c r="F31" s="148">
        <v>43141</v>
      </c>
      <c r="G31" s="124" t="s">
        <v>184</v>
      </c>
      <c r="H31" s="64">
        <v>2</v>
      </c>
      <c r="I31" s="151">
        <v>45604</v>
      </c>
      <c r="J31" s="55" t="s">
        <v>160</v>
      </c>
      <c r="K31" s="154">
        <v>45778</v>
      </c>
      <c r="L31" s="140"/>
      <c r="M31" s="153">
        <f t="shared" si="1"/>
        <v>46088</v>
      </c>
      <c r="N31" s="155">
        <f t="shared" si="2"/>
        <v>45904</v>
      </c>
      <c r="O31" s="78">
        <f t="shared" si="3"/>
        <v>45884</v>
      </c>
      <c r="P31" s="139"/>
      <c r="Q31" s="206">
        <v>45604</v>
      </c>
      <c r="R31" t="s">
        <v>160</v>
      </c>
      <c r="S31" s="206">
        <v>45604</v>
      </c>
      <c r="T31" t="s">
        <v>316</v>
      </c>
      <c r="U31">
        <v>21</v>
      </c>
      <c r="V31" t="s">
        <v>302</v>
      </c>
    </row>
    <row r="32" spans="1:339" x14ac:dyDescent="0.3">
      <c r="A32" s="51">
        <v>31</v>
      </c>
      <c r="B32" s="156" t="s">
        <v>180</v>
      </c>
      <c r="C32" s="127" t="s">
        <v>187</v>
      </c>
      <c r="D32" s="53" t="s">
        <v>161</v>
      </c>
      <c r="E32" s="53" t="s">
        <v>109</v>
      </c>
      <c r="F32" s="148">
        <v>41761</v>
      </c>
      <c r="G32" s="124" t="s">
        <v>184</v>
      </c>
      <c r="H32" s="64">
        <v>4</v>
      </c>
      <c r="I32" s="151">
        <v>45626</v>
      </c>
      <c r="J32" s="55" t="s">
        <v>160</v>
      </c>
      <c r="K32" s="154">
        <v>45778</v>
      </c>
      <c r="L32" s="140"/>
      <c r="M32" s="153">
        <f t="shared" si="1"/>
        <v>46088</v>
      </c>
      <c r="N32" s="155">
        <f t="shared" si="2"/>
        <v>45926</v>
      </c>
      <c r="O32" s="78">
        <f t="shared" si="3"/>
        <v>45906</v>
      </c>
      <c r="P32" s="139"/>
      <c r="Q32" s="206">
        <v>45626</v>
      </c>
      <c r="R32" t="s">
        <v>160</v>
      </c>
      <c r="S32" s="206">
        <v>45626</v>
      </c>
      <c r="T32" t="s">
        <v>330</v>
      </c>
      <c r="U32">
        <v>21</v>
      </c>
      <c r="V32" t="s">
        <v>302</v>
      </c>
    </row>
    <row r="33" spans="1:22" x14ac:dyDescent="0.3">
      <c r="A33" s="51">
        <v>32</v>
      </c>
      <c r="B33" s="156" t="s">
        <v>29</v>
      </c>
      <c r="C33" s="127" t="s">
        <v>187</v>
      </c>
      <c r="D33" s="53" t="s">
        <v>30</v>
      </c>
      <c r="E33" s="53" t="s">
        <v>109</v>
      </c>
      <c r="F33" s="148">
        <v>41255</v>
      </c>
      <c r="G33" s="124" t="s">
        <v>184</v>
      </c>
      <c r="H33" s="64">
        <v>5</v>
      </c>
      <c r="I33" s="151">
        <v>45600</v>
      </c>
      <c r="J33" s="55" t="s">
        <v>160</v>
      </c>
      <c r="K33" s="154">
        <v>45778</v>
      </c>
      <c r="L33" s="140"/>
      <c r="M33" s="153">
        <f t="shared" si="1"/>
        <v>46088</v>
      </c>
      <c r="N33" s="155">
        <f t="shared" si="2"/>
        <v>45900</v>
      </c>
      <c r="O33" s="78">
        <f t="shared" si="3"/>
        <v>45880</v>
      </c>
      <c r="P33" s="139"/>
      <c r="Q33" s="206">
        <v>45600</v>
      </c>
      <c r="R33" t="s">
        <v>160</v>
      </c>
      <c r="S33" s="206">
        <v>45600</v>
      </c>
      <c r="T33" t="s">
        <v>316</v>
      </c>
      <c r="U33">
        <v>21</v>
      </c>
      <c r="V33" t="s">
        <v>302</v>
      </c>
    </row>
    <row r="34" spans="1:22" x14ac:dyDescent="0.3">
      <c r="A34" s="189">
        <v>33</v>
      </c>
      <c r="B34" s="156" t="s">
        <v>185</v>
      </c>
      <c r="C34" s="127" t="s">
        <v>187</v>
      </c>
      <c r="D34" s="53" t="s">
        <v>250</v>
      </c>
      <c r="E34" s="53" t="s">
        <v>109</v>
      </c>
      <c r="F34" s="148">
        <v>43166</v>
      </c>
      <c r="G34" s="124" t="s">
        <v>222</v>
      </c>
      <c r="H34" s="64">
        <v>1</v>
      </c>
      <c r="I34" s="151">
        <v>45034</v>
      </c>
      <c r="J34" s="55" t="s">
        <v>157</v>
      </c>
      <c r="K34" s="154">
        <v>45778</v>
      </c>
      <c r="L34" s="140">
        <v>1.5</v>
      </c>
      <c r="M34" s="153">
        <f t="shared" si="1"/>
        <v>46043</v>
      </c>
      <c r="N34" s="155">
        <f t="shared" si="2"/>
        <v>45334</v>
      </c>
      <c r="O34" s="78">
        <f t="shared" si="3"/>
        <v>45314</v>
      </c>
      <c r="P34" s="139"/>
      <c r="Q34" s="206">
        <v>45034</v>
      </c>
      <c r="R34" t="s">
        <v>157</v>
      </c>
      <c r="S34" s="206">
        <v>45034</v>
      </c>
      <c r="T34" t="s">
        <v>330</v>
      </c>
      <c r="U34">
        <v>21</v>
      </c>
      <c r="V34" t="s">
        <v>307</v>
      </c>
    </row>
    <row r="35" spans="1:22" x14ac:dyDescent="0.3">
      <c r="A35" s="51">
        <v>34</v>
      </c>
      <c r="B35" s="146" t="s">
        <v>83</v>
      </c>
      <c r="C35" s="135" t="s">
        <v>187</v>
      </c>
      <c r="D35" s="134" t="s">
        <v>84</v>
      </c>
      <c r="E35" s="134" t="s">
        <v>108</v>
      </c>
      <c r="F35" s="149">
        <v>41246</v>
      </c>
      <c r="G35" s="130" t="s">
        <v>184</v>
      </c>
      <c r="H35" s="131">
        <v>6</v>
      </c>
      <c r="I35" s="152">
        <v>45626</v>
      </c>
      <c r="J35" s="132" t="s">
        <v>160</v>
      </c>
      <c r="K35" s="154">
        <v>45778</v>
      </c>
      <c r="L35" s="140"/>
      <c r="M35" s="153">
        <f t="shared" si="1"/>
        <v>46088</v>
      </c>
      <c r="N35" s="155">
        <f t="shared" si="2"/>
        <v>45926</v>
      </c>
      <c r="O35" s="78">
        <f t="shared" si="3"/>
        <v>45906</v>
      </c>
      <c r="P35" s="139"/>
      <c r="Q35" s="206">
        <v>45626</v>
      </c>
      <c r="R35" t="s">
        <v>160</v>
      </c>
      <c r="S35" s="206">
        <v>45626</v>
      </c>
      <c r="T35" t="s">
        <v>316</v>
      </c>
      <c r="U35">
        <v>21</v>
      </c>
      <c r="V35" t="s">
        <v>302</v>
      </c>
    </row>
    <row r="36" spans="1:22" x14ac:dyDescent="0.3">
      <c r="A36" s="189">
        <v>35</v>
      </c>
      <c r="B36" s="146" t="s">
        <v>248</v>
      </c>
      <c r="C36" s="135" t="s">
        <v>184</v>
      </c>
      <c r="D36" s="134" t="s">
        <v>249</v>
      </c>
      <c r="E36" s="134" t="s">
        <v>108</v>
      </c>
      <c r="F36" s="149">
        <v>42739</v>
      </c>
      <c r="G36" s="130" t="s">
        <v>184</v>
      </c>
      <c r="H36" s="131">
        <v>2</v>
      </c>
      <c r="I36" s="152">
        <v>45626</v>
      </c>
      <c r="J36" s="132" t="s">
        <v>157</v>
      </c>
      <c r="K36" s="154">
        <v>45778</v>
      </c>
      <c r="L36" s="140">
        <v>2</v>
      </c>
      <c r="M36" s="153">
        <f t="shared" si="1"/>
        <v>46028</v>
      </c>
      <c r="N36" s="155">
        <f t="shared" si="2"/>
        <v>45926</v>
      </c>
      <c r="O36" s="78">
        <f t="shared" si="3"/>
        <v>45906</v>
      </c>
      <c r="P36" s="139"/>
      <c r="Q36" s="206">
        <v>45626</v>
      </c>
      <c r="R36" t="s">
        <v>157</v>
      </c>
      <c r="S36" s="206">
        <v>45626</v>
      </c>
      <c r="T36" t="s">
        <v>330</v>
      </c>
      <c r="U36">
        <v>21</v>
      </c>
      <c r="V36" t="s">
        <v>302</v>
      </c>
    </row>
    <row r="37" spans="1:22" x14ac:dyDescent="0.3">
      <c r="A37" s="51">
        <v>36</v>
      </c>
      <c r="B37" s="146" t="s">
        <v>263</v>
      </c>
      <c r="C37" s="135" t="s">
        <v>184</v>
      </c>
      <c r="D37" s="134" t="s">
        <v>264</v>
      </c>
      <c r="E37" s="134" t="s">
        <v>109</v>
      </c>
      <c r="F37" s="149">
        <v>43118</v>
      </c>
      <c r="G37" s="130" t="s">
        <v>184</v>
      </c>
      <c r="H37" s="131">
        <v>3</v>
      </c>
      <c r="I37" s="152">
        <v>45626</v>
      </c>
      <c r="J37" s="132" t="s">
        <v>160</v>
      </c>
      <c r="K37" s="154">
        <v>45778</v>
      </c>
      <c r="L37" s="158"/>
      <c r="M37" s="153">
        <f t="shared" si="1"/>
        <v>46088</v>
      </c>
      <c r="N37" s="155">
        <f t="shared" si="2"/>
        <v>45926</v>
      </c>
      <c r="O37" s="78">
        <f t="shared" si="3"/>
        <v>45906</v>
      </c>
      <c r="P37" s="139"/>
      <c r="Q37" s="206">
        <v>45626</v>
      </c>
      <c r="R37" t="s">
        <v>160</v>
      </c>
      <c r="S37" s="206">
        <v>45626</v>
      </c>
      <c r="T37" t="s">
        <v>316</v>
      </c>
      <c r="U37">
        <v>21</v>
      </c>
      <c r="V37" t="s">
        <v>302</v>
      </c>
    </row>
    <row r="38" spans="1:22" x14ac:dyDescent="0.3">
      <c r="A38" s="51">
        <v>37</v>
      </c>
      <c r="B38" s="146" t="s">
        <v>262</v>
      </c>
      <c r="C38" s="135" t="s">
        <v>184</v>
      </c>
      <c r="D38" s="134">
        <v>38</v>
      </c>
      <c r="E38" s="134" t="s">
        <v>109</v>
      </c>
      <c r="F38" s="149">
        <v>40461</v>
      </c>
      <c r="G38" s="130" t="s">
        <v>184</v>
      </c>
      <c r="H38" s="131">
        <v>6</v>
      </c>
      <c r="I38" s="152">
        <v>45631</v>
      </c>
      <c r="J38" s="132" t="s">
        <v>160</v>
      </c>
      <c r="K38" s="154">
        <v>45778</v>
      </c>
      <c r="L38" s="158"/>
      <c r="M38" s="153">
        <f t="shared" si="1"/>
        <v>46088</v>
      </c>
      <c r="N38" s="155">
        <f t="shared" si="2"/>
        <v>45931</v>
      </c>
      <c r="O38" s="78">
        <f t="shared" si="3"/>
        <v>45911</v>
      </c>
      <c r="P38" s="139"/>
      <c r="Q38" s="206">
        <v>45631</v>
      </c>
      <c r="R38" t="s">
        <v>160</v>
      </c>
      <c r="S38" s="206">
        <v>45631</v>
      </c>
      <c r="T38" t="s">
        <v>330</v>
      </c>
      <c r="U38">
        <v>21</v>
      </c>
      <c r="V38" t="s">
        <v>302</v>
      </c>
    </row>
    <row r="39" spans="1:22" x14ac:dyDescent="0.3">
      <c r="A39" s="51">
        <v>38</v>
      </c>
      <c r="B39" s="156" t="s">
        <v>189</v>
      </c>
      <c r="C39" s="127" t="s">
        <v>184</v>
      </c>
      <c r="D39" s="53" t="s">
        <v>183</v>
      </c>
      <c r="E39" s="53" t="s">
        <v>109</v>
      </c>
      <c r="F39" s="148">
        <v>43142</v>
      </c>
      <c r="G39" s="124" t="s">
        <v>184</v>
      </c>
      <c r="H39" s="64">
        <v>2</v>
      </c>
      <c r="I39" s="151">
        <v>45609</v>
      </c>
      <c r="J39" s="55" t="s">
        <v>160</v>
      </c>
      <c r="K39" s="154">
        <v>45778</v>
      </c>
      <c r="L39" s="140"/>
      <c r="M39" s="153">
        <f t="shared" si="1"/>
        <v>46088</v>
      </c>
      <c r="N39" s="155">
        <f t="shared" si="2"/>
        <v>45909</v>
      </c>
      <c r="O39" s="139">
        <f t="shared" si="3"/>
        <v>45889</v>
      </c>
      <c r="P39" s="139"/>
      <c r="Q39" s="206">
        <v>45609</v>
      </c>
      <c r="R39" t="s">
        <v>160</v>
      </c>
      <c r="S39" s="206">
        <v>45609</v>
      </c>
      <c r="T39" t="s">
        <v>316</v>
      </c>
      <c r="U39">
        <v>21</v>
      </c>
      <c r="V39" t="s">
        <v>302</v>
      </c>
    </row>
    <row r="40" spans="1:22" x14ac:dyDescent="0.3">
      <c r="A40" s="189">
        <v>39</v>
      </c>
      <c r="B40" s="156" t="s">
        <v>272</v>
      </c>
      <c r="C40" s="127" t="s">
        <v>187</v>
      </c>
      <c r="D40" s="53" t="s">
        <v>283</v>
      </c>
      <c r="E40" s="53" t="s">
        <v>109</v>
      </c>
      <c r="F40" s="148">
        <v>43178</v>
      </c>
      <c r="G40" s="124" t="s">
        <v>222</v>
      </c>
      <c r="H40" s="64">
        <v>1</v>
      </c>
      <c r="I40" s="151">
        <v>45339</v>
      </c>
      <c r="J40" s="55" t="s">
        <v>157</v>
      </c>
      <c r="K40" s="154">
        <v>45778</v>
      </c>
      <c r="L40" s="140">
        <v>5</v>
      </c>
      <c r="M40" s="153">
        <f t="shared" si="1"/>
        <v>45938</v>
      </c>
      <c r="N40" s="155">
        <f t="shared" si="2"/>
        <v>45639</v>
      </c>
      <c r="O40" s="139">
        <f t="shared" si="3"/>
        <v>45619</v>
      </c>
      <c r="P40" s="139"/>
      <c r="Q40" s="206">
        <v>45339</v>
      </c>
      <c r="R40" t="s">
        <v>157</v>
      </c>
      <c r="S40" s="206">
        <v>45339</v>
      </c>
      <c r="T40" t="s">
        <v>330</v>
      </c>
      <c r="U40">
        <v>21</v>
      </c>
      <c r="V40" t="s">
        <v>302</v>
      </c>
    </row>
    <row r="41" spans="1:22" x14ac:dyDescent="0.3">
      <c r="A41" s="51">
        <v>43</v>
      </c>
      <c r="B41" s="156" t="s">
        <v>273</v>
      </c>
      <c r="C41" s="127" t="s">
        <v>274</v>
      </c>
      <c r="D41" s="53" t="s">
        <v>275</v>
      </c>
      <c r="E41" s="53" t="s">
        <v>109</v>
      </c>
      <c r="F41" s="148">
        <v>43171</v>
      </c>
      <c r="G41" s="124" t="s">
        <v>222</v>
      </c>
      <c r="H41" s="64">
        <v>3</v>
      </c>
      <c r="I41" s="151">
        <v>45656</v>
      </c>
      <c r="J41" s="55" t="s">
        <v>160</v>
      </c>
      <c r="K41" s="154">
        <v>45778</v>
      </c>
      <c r="L41" s="140"/>
      <c r="M41" s="153">
        <f>(315-((L41*30)+5))+$K$2</f>
        <v>46088</v>
      </c>
      <c r="N41" s="155">
        <f>I41+300</f>
        <v>45956</v>
      </c>
      <c r="O41" s="139"/>
      <c r="P41" s="139"/>
      <c r="Q41" s="206">
        <v>45656</v>
      </c>
      <c r="R41" t="s">
        <v>160</v>
      </c>
      <c r="S41" s="206">
        <v>45656</v>
      </c>
      <c r="T41" t="s">
        <v>316</v>
      </c>
      <c r="U41">
        <v>21</v>
      </c>
      <c r="V41" t="s">
        <v>302</v>
      </c>
    </row>
    <row r="42" spans="1:22" x14ac:dyDescent="0.3">
      <c r="A42" s="51">
        <v>45</v>
      </c>
      <c r="B42" s="157">
        <v>799</v>
      </c>
      <c r="C42" s="128" t="s">
        <v>187</v>
      </c>
      <c r="D42" s="50" t="s">
        <v>284</v>
      </c>
      <c r="E42" s="53" t="s">
        <v>108</v>
      </c>
      <c r="F42" s="148">
        <v>43559</v>
      </c>
      <c r="G42" s="124" t="s">
        <v>222</v>
      </c>
      <c r="H42" s="64">
        <v>1</v>
      </c>
      <c r="I42" s="151">
        <v>45427</v>
      </c>
      <c r="J42" s="55" t="s">
        <v>160</v>
      </c>
      <c r="K42" s="154">
        <v>45778</v>
      </c>
      <c r="L42" s="140"/>
      <c r="M42" s="153">
        <f t="shared" si="1"/>
        <v>46088</v>
      </c>
      <c r="N42" s="155">
        <f t="shared" si="2"/>
        <v>45727</v>
      </c>
      <c r="O42" s="139"/>
      <c r="P42" s="139"/>
      <c r="Q42" s="206">
        <v>45427</v>
      </c>
      <c r="R42" t="s">
        <v>160</v>
      </c>
      <c r="S42" s="206">
        <v>45427</v>
      </c>
      <c r="T42" t="s">
        <v>316</v>
      </c>
      <c r="U42">
        <v>21</v>
      </c>
      <c r="V42" t="s">
        <v>302</v>
      </c>
    </row>
    <row r="43" spans="1:22" x14ac:dyDescent="0.3">
      <c r="A43" s="51">
        <v>47</v>
      </c>
      <c r="B43" s="126" t="s">
        <v>279</v>
      </c>
      <c r="C43" s="127" t="s">
        <v>278</v>
      </c>
      <c r="D43" s="53" t="s">
        <v>286</v>
      </c>
      <c r="E43" s="53" t="s">
        <v>277</v>
      </c>
      <c r="F43" s="177">
        <v>43559</v>
      </c>
      <c r="G43" s="124" t="s">
        <v>184</v>
      </c>
      <c r="H43" s="64">
        <v>2</v>
      </c>
      <c r="I43" s="151">
        <v>45673</v>
      </c>
      <c r="J43" s="55" t="s">
        <v>160</v>
      </c>
      <c r="K43" s="154">
        <v>45778</v>
      </c>
      <c r="L43" s="140"/>
      <c r="M43" s="153">
        <f t="shared" si="1"/>
        <v>46088</v>
      </c>
      <c r="N43" s="155">
        <f t="shared" si="2"/>
        <v>45973</v>
      </c>
      <c r="O43" s="139"/>
      <c r="P43" s="139"/>
      <c r="Q43" s="206">
        <v>45673</v>
      </c>
      <c r="R43" t="s">
        <v>160</v>
      </c>
      <c r="S43" s="206">
        <v>45673</v>
      </c>
      <c r="T43" t="s">
        <v>330</v>
      </c>
      <c r="U43">
        <v>21</v>
      </c>
      <c r="V43" t="s">
        <v>302</v>
      </c>
    </row>
    <row r="44" spans="1:22" x14ac:dyDescent="0.3">
      <c r="A44" s="51">
        <v>48</v>
      </c>
      <c r="B44" s="126" t="s">
        <v>280</v>
      </c>
      <c r="C44" s="127" t="s">
        <v>278</v>
      </c>
      <c r="D44" s="53" t="s">
        <v>287</v>
      </c>
      <c r="E44" s="53" t="s">
        <v>184</v>
      </c>
      <c r="F44" s="177">
        <v>43560</v>
      </c>
      <c r="G44" s="124" t="s">
        <v>184</v>
      </c>
      <c r="H44" s="64">
        <v>2</v>
      </c>
      <c r="I44" s="151">
        <v>45669</v>
      </c>
      <c r="J44" s="55" t="s">
        <v>160</v>
      </c>
      <c r="K44" s="154">
        <v>45778</v>
      </c>
      <c r="L44" s="140"/>
      <c r="M44" s="153">
        <f t="shared" si="1"/>
        <v>46088</v>
      </c>
      <c r="N44" s="155">
        <f t="shared" si="2"/>
        <v>45969</v>
      </c>
      <c r="O44" s="139"/>
      <c r="P44" s="139"/>
      <c r="Q44" s="206">
        <v>45669</v>
      </c>
      <c r="R44" t="s">
        <v>160</v>
      </c>
      <c r="S44" s="206">
        <v>45669</v>
      </c>
      <c r="T44" t="s">
        <v>316</v>
      </c>
      <c r="U44">
        <v>21</v>
      </c>
      <c r="V44" t="s">
        <v>302</v>
      </c>
    </row>
    <row r="45" spans="1:22" x14ac:dyDescent="0.3">
      <c r="A45" s="189">
        <v>49</v>
      </c>
      <c r="B45" s="126" t="s">
        <v>281</v>
      </c>
      <c r="C45" s="127" t="s">
        <v>278</v>
      </c>
      <c r="D45" s="53" t="s">
        <v>288</v>
      </c>
      <c r="E45" s="53" t="s">
        <v>277</v>
      </c>
      <c r="F45" s="177">
        <v>43561</v>
      </c>
      <c r="G45" s="124" t="s">
        <v>184</v>
      </c>
      <c r="H45" s="64">
        <v>2</v>
      </c>
      <c r="I45" s="151">
        <v>45573</v>
      </c>
      <c r="J45" s="55" t="s">
        <v>157</v>
      </c>
      <c r="K45" s="154">
        <v>45778</v>
      </c>
      <c r="L45" s="140">
        <v>3</v>
      </c>
      <c r="M45" s="153">
        <f t="shared" si="1"/>
        <v>45998</v>
      </c>
      <c r="N45" s="155">
        <f t="shared" si="2"/>
        <v>45873</v>
      </c>
      <c r="O45" s="139"/>
      <c r="P45" s="139"/>
      <c r="Q45" s="206">
        <v>45573</v>
      </c>
      <c r="R45" t="s">
        <v>157</v>
      </c>
      <c r="S45" s="206">
        <v>45573</v>
      </c>
      <c r="T45" t="s">
        <v>330</v>
      </c>
      <c r="U45">
        <v>21</v>
      </c>
      <c r="V45" t="s">
        <v>302</v>
      </c>
    </row>
    <row r="46" spans="1:22" x14ac:dyDescent="0.3">
      <c r="A46" s="189">
        <v>50</v>
      </c>
      <c r="B46" s="126" t="s">
        <v>282</v>
      </c>
      <c r="C46" s="127" t="s">
        <v>278</v>
      </c>
      <c r="D46" s="53" t="s">
        <v>289</v>
      </c>
      <c r="E46" s="53" t="s">
        <v>277</v>
      </c>
      <c r="F46" s="177">
        <v>43562</v>
      </c>
      <c r="G46" s="124" t="s">
        <v>222</v>
      </c>
      <c r="H46" s="64">
        <v>2</v>
      </c>
      <c r="I46" s="151">
        <v>45419</v>
      </c>
      <c r="J46" s="55" t="s">
        <v>157</v>
      </c>
      <c r="K46" s="154">
        <v>45778</v>
      </c>
      <c r="L46" s="140">
        <v>6</v>
      </c>
      <c r="M46" s="153">
        <f t="shared" si="1"/>
        <v>45908</v>
      </c>
      <c r="N46" s="155">
        <f t="shared" si="2"/>
        <v>45719</v>
      </c>
      <c r="O46" s="139"/>
      <c r="P46" s="139"/>
      <c r="Q46" s="206">
        <v>45419</v>
      </c>
      <c r="R46" t="s">
        <v>157</v>
      </c>
      <c r="S46" s="206">
        <v>45419</v>
      </c>
      <c r="T46" t="s">
        <v>316</v>
      </c>
      <c r="U46">
        <v>21</v>
      </c>
      <c r="V46" t="s">
        <v>302</v>
      </c>
    </row>
    <row r="47" spans="1:22" x14ac:dyDescent="0.3">
      <c r="A47" s="51">
        <v>51</v>
      </c>
      <c r="B47" s="157">
        <v>797</v>
      </c>
      <c r="C47" s="128" t="s">
        <v>187</v>
      </c>
      <c r="D47" s="100" t="s">
        <v>290</v>
      </c>
      <c r="E47" s="53" t="s">
        <v>108</v>
      </c>
      <c r="F47" s="148">
        <v>43624</v>
      </c>
      <c r="G47" s="124" t="s">
        <v>184</v>
      </c>
      <c r="H47" s="64">
        <v>1</v>
      </c>
      <c r="I47" s="151">
        <v>45598</v>
      </c>
      <c r="J47" s="55" t="s">
        <v>160</v>
      </c>
      <c r="K47" s="154">
        <v>45778</v>
      </c>
      <c r="L47" s="140"/>
      <c r="M47" s="153">
        <f t="shared" si="1"/>
        <v>46088</v>
      </c>
      <c r="N47" s="155">
        <f t="shared" si="2"/>
        <v>45898</v>
      </c>
      <c r="O47" s="139"/>
      <c r="P47" s="139"/>
      <c r="Q47" s="206">
        <v>45598</v>
      </c>
      <c r="R47" t="s">
        <v>160</v>
      </c>
      <c r="S47" s="206">
        <v>45598</v>
      </c>
      <c r="T47" t="s">
        <v>316</v>
      </c>
      <c r="U47">
        <v>21</v>
      </c>
      <c r="V47" t="s">
        <v>302</v>
      </c>
    </row>
    <row r="48" spans="1:22" x14ac:dyDescent="0.3">
      <c r="A48" s="51">
        <v>52</v>
      </c>
      <c r="B48" s="157">
        <v>783</v>
      </c>
      <c r="C48" s="128" t="s">
        <v>187</v>
      </c>
      <c r="D48" s="100" t="s">
        <v>291</v>
      </c>
      <c r="E48" s="53" t="s">
        <v>109</v>
      </c>
      <c r="F48" s="148">
        <v>43192</v>
      </c>
      <c r="G48" s="124" t="s">
        <v>184</v>
      </c>
      <c r="H48" s="64">
        <v>1</v>
      </c>
      <c r="I48" s="151">
        <v>45632</v>
      </c>
      <c r="J48" s="55" t="s">
        <v>160</v>
      </c>
      <c r="K48" s="154">
        <v>45778</v>
      </c>
      <c r="L48" s="140"/>
      <c r="M48" s="153">
        <f t="shared" si="1"/>
        <v>46088</v>
      </c>
      <c r="N48" s="155">
        <f t="shared" si="2"/>
        <v>45932</v>
      </c>
      <c r="O48" s="139"/>
      <c r="P48" s="139"/>
      <c r="Q48" s="206">
        <v>45632</v>
      </c>
      <c r="R48" t="s">
        <v>160</v>
      </c>
      <c r="S48" s="206">
        <v>45632</v>
      </c>
      <c r="T48" t="s">
        <v>330</v>
      </c>
      <c r="U48">
        <v>21</v>
      </c>
      <c r="V48" t="s">
        <v>302</v>
      </c>
    </row>
    <row r="49" spans="1:22" x14ac:dyDescent="0.3">
      <c r="A49" s="189">
        <v>53</v>
      </c>
      <c r="B49" s="157">
        <v>796</v>
      </c>
      <c r="C49" s="128" t="s">
        <v>187</v>
      </c>
      <c r="D49" s="100" t="s">
        <v>92</v>
      </c>
      <c r="E49" s="53" t="s">
        <v>109</v>
      </c>
      <c r="F49" s="148">
        <v>43507</v>
      </c>
      <c r="G49" s="124" t="s">
        <v>184</v>
      </c>
      <c r="H49" s="64">
        <v>1</v>
      </c>
      <c r="I49" s="151">
        <v>45666</v>
      </c>
      <c r="J49" s="55" t="s">
        <v>276</v>
      </c>
      <c r="K49" s="154">
        <v>45778</v>
      </c>
      <c r="L49" s="140">
        <v>1</v>
      </c>
      <c r="M49" s="153">
        <f t="shared" si="1"/>
        <v>46058</v>
      </c>
      <c r="N49" s="155">
        <f t="shared" si="2"/>
        <v>45966</v>
      </c>
      <c r="O49" s="139"/>
      <c r="P49" s="139"/>
      <c r="Q49" s="206">
        <v>45666</v>
      </c>
      <c r="R49" t="s">
        <v>160</v>
      </c>
      <c r="S49" s="206">
        <v>45666</v>
      </c>
      <c r="T49" t="s">
        <v>330</v>
      </c>
      <c r="U49">
        <v>21</v>
      </c>
      <c r="V49" t="s">
        <v>307</v>
      </c>
    </row>
    <row r="50" spans="1:22" x14ac:dyDescent="0.3">
      <c r="A50" s="51">
        <v>56</v>
      </c>
      <c r="B50" s="157">
        <v>800</v>
      </c>
      <c r="C50" s="128" t="s">
        <v>187</v>
      </c>
      <c r="D50" s="100" t="s">
        <v>255</v>
      </c>
      <c r="E50" s="53" t="s">
        <v>109</v>
      </c>
      <c r="F50" s="148">
        <v>43584</v>
      </c>
      <c r="G50" s="124" t="s">
        <v>184</v>
      </c>
      <c r="H50" s="64">
        <v>1</v>
      </c>
      <c r="I50" s="151">
        <v>45708</v>
      </c>
      <c r="J50" s="55" t="s">
        <v>160</v>
      </c>
      <c r="K50" s="154">
        <v>45778</v>
      </c>
      <c r="L50" s="140"/>
      <c r="M50" s="153">
        <f t="shared" si="1"/>
        <v>46088</v>
      </c>
      <c r="N50" s="155">
        <f t="shared" si="2"/>
        <v>46008</v>
      </c>
      <c r="O50" s="139"/>
      <c r="P50" s="139"/>
      <c r="Q50" s="206">
        <v>45708</v>
      </c>
      <c r="R50" t="s">
        <v>160</v>
      </c>
      <c r="S50" s="206">
        <v>45708</v>
      </c>
      <c r="T50" t="s">
        <v>316</v>
      </c>
      <c r="U50">
        <v>21</v>
      </c>
      <c r="V50" t="s">
        <v>302</v>
      </c>
    </row>
    <row r="51" spans="1:22" x14ac:dyDescent="0.3">
      <c r="A51" s="51">
        <v>57</v>
      </c>
      <c r="B51" s="157">
        <v>826</v>
      </c>
      <c r="C51" s="128" t="s">
        <v>187</v>
      </c>
      <c r="D51" s="100" t="s">
        <v>292</v>
      </c>
      <c r="E51" s="53" t="s">
        <v>109</v>
      </c>
      <c r="F51" s="148">
        <v>43821</v>
      </c>
      <c r="G51" s="124" t="s">
        <v>184</v>
      </c>
      <c r="H51" s="64">
        <v>1</v>
      </c>
      <c r="I51" s="151">
        <v>45712</v>
      </c>
      <c r="J51" s="55" t="s">
        <v>160</v>
      </c>
      <c r="K51" s="154">
        <v>45778</v>
      </c>
      <c r="L51" s="140"/>
      <c r="M51" s="153">
        <f t="shared" si="1"/>
        <v>46088</v>
      </c>
      <c r="N51" s="155">
        <f t="shared" si="2"/>
        <v>46012</v>
      </c>
      <c r="O51" s="139"/>
      <c r="P51" s="139"/>
      <c r="Q51" s="206">
        <v>45712</v>
      </c>
      <c r="R51" t="s">
        <v>160</v>
      </c>
      <c r="S51" s="206">
        <v>45712</v>
      </c>
      <c r="T51" t="s">
        <v>316</v>
      </c>
      <c r="U51">
        <v>21</v>
      </c>
      <c r="V51" t="s">
        <v>302</v>
      </c>
    </row>
    <row r="52" spans="1:22" x14ac:dyDescent="0.3">
      <c r="A52" s="51">
        <v>58</v>
      </c>
      <c r="B52" s="157">
        <v>801</v>
      </c>
      <c r="C52" s="128" t="s">
        <v>187</v>
      </c>
      <c r="D52" s="100" t="s">
        <v>257</v>
      </c>
      <c r="E52" s="53" t="s">
        <v>109</v>
      </c>
      <c r="F52" s="148">
        <v>43569</v>
      </c>
      <c r="G52" s="124" t="s">
        <v>184</v>
      </c>
      <c r="H52" s="64">
        <v>1</v>
      </c>
      <c r="I52" s="151">
        <v>45788</v>
      </c>
      <c r="J52" s="55" t="s">
        <v>160</v>
      </c>
      <c r="K52" s="154">
        <v>45778</v>
      </c>
      <c r="L52" s="140"/>
      <c r="M52" s="153">
        <f t="shared" si="1"/>
        <v>46088</v>
      </c>
      <c r="N52" s="155">
        <f t="shared" si="2"/>
        <v>46088</v>
      </c>
      <c r="O52" s="139"/>
      <c r="P52" s="139"/>
      <c r="Q52" s="206">
        <v>45788</v>
      </c>
      <c r="R52" t="s">
        <v>160</v>
      </c>
      <c r="S52" s="206">
        <v>45788</v>
      </c>
      <c r="T52" t="s">
        <v>330</v>
      </c>
      <c r="U52">
        <v>21</v>
      </c>
      <c r="V52" t="s">
        <v>302</v>
      </c>
    </row>
    <row r="53" spans="1:22" x14ac:dyDescent="0.3">
      <c r="C53" s="123"/>
      <c r="D53" s="6"/>
      <c r="E53" s="6"/>
      <c r="F53" s="4"/>
      <c r="G53" s="123"/>
      <c r="H53" s="6"/>
      <c r="I53" s="4"/>
    </row>
    <row r="54" spans="1:22" x14ac:dyDescent="0.3">
      <c r="F54" s="4"/>
    </row>
    <row r="55" spans="1:22" x14ac:dyDescent="0.3">
      <c r="F55" s="4"/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G55"/>
  <sheetViews>
    <sheetView tabSelected="1" workbookViewId="0">
      <pane ySplit="1" topLeftCell="A41" activePane="bottomLeft" state="frozen"/>
      <selection pane="bottomLeft" activeCell="M2" sqref="M2:M52"/>
    </sheetView>
  </sheetViews>
  <sheetFormatPr defaultRowHeight="14.4" x14ac:dyDescent="0.3"/>
  <cols>
    <col min="2" max="2" width="9.109375" customWidth="1"/>
    <col min="3" max="3" width="8.33203125" customWidth="1"/>
    <col min="4" max="4" width="17.33203125" customWidth="1"/>
    <col min="5" max="5" width="14.33203125" bestFit="1" customWidth="1"/>
    <col min="6" max="6" width="13.6640625" customWidth="1"/>
    <col min="7" max="7" width="13.5546875" customWidth="1"/>
    <col min="8" max="8" width="12.109375" customWidth="1"/>
    <col min="9" max="9" width="15.44140625" bestFit="1" customWidth="1"/>
    <col min="10" max="10" width="9.33203125" customWidth="1"/>
    <col min="11" max="11" width="10.6640625" bestFit="1" customWidth="1"/>
    <col min="12" max="12" width="14.44140625" bestFit="1" customWidth="1"/>
    <col min="13" max="13" width="12.44140625" customWidth="1"/>
    <col min="14" max="14" width="10.33203125" customWidth="1"/>
    <col min="15" max="15" width="0" hidden="1" customWidth="1"/>
    <col min="16" max="16" width="13.109375" customWidth="1"/>
    <col min="17" max="17" width="34.6640625" customWidth="1"/>
    <col min="18" max="22" width="18.6640625" customWidth="1"/>
  </cols>
  <sheetData>
    <row r="1" spans="1:22" x14ac:dyDescent="0.3">
      <c r="A1" s="61" t="s">
        <v>0</v>
      </c>
      <c r="B1" s="61" t="s">
        <v>1</v>
      </c>
      <c r="C1" s="61" t="s">
        <v>186</v>
      </c>
      <c r="D1" s="61" t="s">
        <v>2</v>
      </c>
      <c r="E1" s="61" t="s">
        <v>104</v>
      </c>
      <c r="F1" s="61" t="s">
        <v>100</v>
      </c>
      <c r="G1" s="61" t="s">
        <v>198</v>
      </c>
      <c r="H1" s="61" t="s">
        <v>101</v>
      </c>
      <c r="I1" s="61" t="s">
        <v>158</v>
      </c>
      <c r="J1" s="61" t="s">
        <v>106</v>
      </c>
      <c r="K1" s="137" t="s">
        <v>99</v>
      </c>
      <c r="L1" s="61" t="s">
        <v>159</v>
      </c>
      <c r="M1" s="61" t="s">
        <v>97</v>
      </c>
      <c r="N1" s="61" t="s">
        <v>118</v>
      </c>
      <c r="O1" s="61" t="s">
        <v>118</v>
      </c>
      <c r="P1" s="61"/>
      <c r="Q1" s="67" t="s">
        <v>295</v>
      </c>
      <c r="R1" s="67" t="s">
        <v>296</v>
      </c>
      <c r="S1" s="67" t="s">
        <v>297</v>
      </c>
      <c r="T1" s="67" t="s">
        <v>298</v>
      </c>
      <c r="U1" s="67" t="s">
        <v>299</v>
      </c>
      <c r="V1" s="67" t="s">
        <v>300</v>
      </c>
    </row>
    <row r="2" spans="1:22" x14ac:dyDescent="0.3">
      <c r="A2" s="51">
        <v>1</v>
      </c>
      <c r="B2" s="146" t="s">
        <v>244</v>
      </c>
      <c r="C2" s="135" t="s">
        <v>215</v>
      </c>
      <c r="D2" s="134" t="s">
        <v>245</v>
      </c>
      <c r="E2" s="134" t="s">
        <v>108</v>
      </c>
      <c r="F2" s="149">
        <v>43177</v>
      </c>
      <c r="G2" s="130" t="s">
        <v>184</v>
      </c>
      <c r="H2" s="131">
        <v>3</v>
      </c>
      <c r="I2" s="152">
        <v>45626</v>
      </c>
      <c r="J2" s="132" t="s">
        <v>160</v>
      </c>
      <c r="K2" s="153">
        <v>45847</v>
      </c>
      <c r="L2" s="140"/>
      <c r="M2" s="153">
        <f>(315-((L2*30)+5))+$K$2</f>
        <v>46157</v>
      </c>
      <c r="N2" s="155">
        <f>I2+300</f>
        <v>45926</v>
      </c>
      <c r="O2" s="78">
        <f t="shared" ref="O2:O18" si="0">M2+280</f>
        <v>46437</v>
      </c>
      <c r="P2" s="139"/>
      <c r="Q2" s="151" t="s">
        <v>303</v>
      </c>
      <c r="R2" t="s">
        <v>301</v>
      </c>
      <c r="S2" s="206">
        <v>45839</v>
      </c>
      <c r="T2" t="s">
        <v>316</v>
      </c>
      <c r="U2">
        <v>21</v>
      </c>
      <c r="V2" t="s">
        <v>302</v>
      </c>
    </row>
    <row r="3" spans="1:22" x14ac:dyDescent="0.3">
      <c r="A3" s="189">
        <v>2</v>
      </c>
      <c r="B3" s="146" t="s">
        <v>252</v>
      </c>
      <c r="C3" s="135" t="s">
        <v>215</v>
      </c>
      <c r="D3" s="134" t="s">
        <v>293</v>
      </c>
      <c r="E3" s="134" t="s">
        <v>108</v>
      </c>
      <c r="F3" s="149">
        <v>43170</v>
      </c>
      <c r="G3" s="130" t="s">
        <v>222</v>
      </c>
      <c r="H3" s="131">
        <v>2</v>
      </c>
      <c r="I3" s="152">
        <v>45352</v>
      </c>
      <c r="J3" s="132" t="s">
        <v>157</v>
      </c>
      <c r="K3" s="153">
        <v>45847</v>
      </c>
      <c r="L3" s="140">
        <v>8</v>
      </c>
      <c r="M3" s="153">
        <f t="shared" ref="M3:M52" si="1">(315-((L3*30)+5))+$K$2</f>
        <v>45917</v>
      </c>
      <c r="N3" s="155">
        <f t="shared" ref="N3:N52" si="2">I3+300</f>
        <v>45652</v>
      </c>
      <c r="O3" s="78"/>
      <c r="P3" s="139"/>
      <c r="Q3" s="4" t="s">
        <v>304</v>
      </c>
      <c r="R3" t="s">
        <v>305</v>
      </c>
      <c r="S3" s="206">
        <v>45828</v>
      </c>
      <c r="T3" t="s">
        <v>306</v>
      </c>
      <c r="U3">
        <v>21</v>
      </c>
      <c r="V3" t="s">
        <v>302</v>
      </c>
    </row>
    <row r="4" spans="1:22" x14ac:dyDescent="0.3">
      <c r="A4" s="51">
        <v>3</v>
      </c>
      <c r="B4" s="146" t="s">
        <v>57</v>
      </c>
      <c r="C4" s="135" t="s">
        <v>187</v>
      </c>
      <c r="D4" s="134" t="s">
        <v>58</v>
      </c>
      <c r="E4" s="134" t="s">
        <v>109</v>
      </c>
      <c r="F4" s="149">
        <v>41247</v>
      </c>
      <c r="G4" s="130" t="s">
        <v>222</v>
      </c>
      <c r="H4" s="131">
        <v>5</v>
      </c>
      <c r="I4" s="152">
        <v>45626</v>
      </c>
      <c r="J4" s="132" t="s">
        <v>160</v>
      </c>
      <c r="K4" s="153">
        <v>45847</v>
      </c>
      <c r="L4" s="158"/>
      <c r="M4" s="153">
        <f t="shared" si="1"/>
        <v>46157</v>
      </c>
      <c r="N4" s="155">
        <f t="shared" si="2"/>
        <v>45926</v>
      </c>
      <c r="O4" s="78">
        <f t="shared" si="0"/>
        <v>46437</v>
      </c>
      <c r="P4" s="139"/>
      <c r="Q4" t="s">
        <v>308</v>
      </c>
      <c r="R4" t="s">
        <v>312</v>
      </c>
      <c r="S4" s="206">
        <v>45853</v>
      </c>
      <c r="T4" t="s">
        <v>316</v>
      </c>
      <c r="U4">
        <v>21</v>
      </c>
      <c r="V4" t="s">
        <v>307</v>
      </c>
    </row>
    <row r="5" spans="1:22" x14ac:dyDescent="0.3">
      <c r="A5" s="189">
        <v>4</v>
      </c>
      <c r="B5" s="146" t="s">
        <v>240</v>
      </c>
      <c r="C5" s="135" t="s">
        <v>187</v>
      </c>
      <c r="D5" s="134" t="s">
        <v>241</v>
      </c>
      <c r="E5" s="134" t="s">
        <v>109</v>
      </c>
      <c r="F5" s="149">
        <v>41496</v>
      </c>
      <c r="G5" s="130" t="s">
        <v>222</v>
      </c>
      <c r="H5" s="131">
        <v>6</v>
      </c>
      <c r="I5" s="152">
        <v>45261</v>
      </c>
      <c r="J5" s="132" t="s">
        <v>157</v>
      </c>
      <c r="K5" s="153">
        <v>45847</v>
      </c>
      <c r="L5" s="140">
        <v>4.5</v>
      </c>
      <c r="M5" s="153">
        <f t="shared" si="1"/>
        <v>46022</v>
      </c>
      <c r="N5" s="155">
        <f t="shared" si="2"/>
        <v>45561</v>
      </c>
      <c r="O5" s="78">
        <f t="shared" si="0"/>
        <v>46302</v>
      </c>
      <c r="P5" s="139"/>
      <c r="Q5" t="s">
        <v>309</v>
      </c>
      <c r="R5" t="s">
        <v>313</v>
      </c>
      <c r="S5" s="206">
        <v>45813</v>
      </c>
      <c r="T5" t="s">
        <v>306</v>
      </c>
      <c r="U5">
        <v>21</v>
      </c>
      <c r="V5" t="s">
        <v>302</v>
      </c>
    </row>
    <row r="6" spans="1:22" x14ac:dyDescent="0.3">
      <c r="A6" s="189">
        <v>5</v>
      </c>
      <c r="B6" s="136">
        <v>170309</v>
      </c>
      <c r="C6" s="133" t="s">
        <v>184</v>
      </c>
      <c r="D6" s="134" t="s">
        <v>238</v>
      </c>
      <c r="E6" s="134" t="s">
        <v>109</v>
      </c>
      <c r="F6" s="149">
        <v>42800</v>
      </c>
      <c r="G6" s="130" t="s">
        <v>222</v>
      </c>
      <c r="H6" s="131">
        <v>2</v>
      </c>
      <c r="I6" s="152">
        <v>45413</v>
      </c>
      <c r="J6" s="132" t="s">
        <v>157</v>
      </c>
      <c r="K6" s="153">
        <v>45847</v>
      </c>
      <c r="L6" s="158">
        <v>6</v>
      </c>
      <c r="M6" s="153">
        <f t="shared" si="1"/>
        <v>45977</v>
      </c>
      <c r="N6" s="155">
        <f t="shared" si="2"/>
        <v>45713</v>
      </c>
      <c r="O6" s="78">
        <f t="shared" si="0"/>
        <v>46257</v>
      </c>
      <c r="P6" s="139"/>
      <c r="Q6" t="s">
        <v>310</v>
      </c>
      <c r="R6" t="s">
        <v>314</v>
      </c>
      <c r="S6" s="206">
        <v>45826</v>
      </c>
      <c r="T6" t="s">
        <v>316</v>
      </c>
      <c r="U6">
        <v>21</v>
      </c>
      <c r="V6" t="s">
        <v>302</v>
      </c>
    </row>
    <row r="7" spans="1:22" x14ac:dyDescent="0.3">
      <c r="A7" s="191">
        <v>6</v>
      </c>
      <c r="B7" s="192" t="s">
        <v>242</v>
      </c>
      <c r="C7" s="193" t="s">
        <v>187</v>
      </c>
      <c r="D7" s="194" t="s">
        <v>243</v>
      </c>
      <c r="E7" s="194" t="s">
        <v>109</v>
      </c>
      <c r="F7" s="195">
        <v>41526</v>
      </c>
      <c r="G7" s="196" t="s">
        <v>184</v>
      </c>
      <c r="H7" s="197">
        <v>6</v>
      </c>
      <c r="I7" s="195">
        <v>45681</v>
      </c>
      <c r="J7" s="198" t="s">
        <v>160</v>
      </c>
      <c r="K7" s="153">
        <v>45847</v>
      </c>
      <c r="L7" s="200"/>
      <c r="M7" s="153">
        <f t="shared" si="1"/>
        <v>46157</v>
      </c>
      <c r="N7" s="201">
        <f t="shared" si="2"/>
        <v>45981</v>
      </c>
      <c r="O7" s="198">
        <f t="shared" si="0"/>
        <v>46437</v>
      </c>
      <c r="P7" s="203" t="s">
        <v>111</v>
      </c>
      <c r="Q7" s="204" t="s">
        <v>311</v>
      </c>
      <c r="R7" s="204" t="s">
        <v>315</v>
      </c>
      <c r="S7" s="207">
        <v>45889</v>
      </c>
      <c r="T7" s="204" t="s">
        <v>306</v>
      </c>
      <c r="U7" s="204">
        <v>21</v>
      </c>
      <c r="V7" s="204" t="s">
        <v>307</v>
      </c>
    </row>
    <row r="8" spans="1:22" x14ac:dyDescent="0.3">
      <c r="A8" s="189">
        <v>7</v>
      </c>
      <c r="B8" s="156" t="s">
        <v>134</v>
      </c>
      <c r="C8" s="127" t="s">
        <v>187</v>
      </c>
      <c r="D8" s="53" t="s">
        <v>237</v>
      </c>
      <c r="E8" s="53" t="s">
        <v>109</v>
      </c>
      <c r="F8" s="148">
        <v>41436</v>
      </c>
      <c r="G8" s="124" t="s">
        <v>222</v>
      </c>
      <c r="H8" s="64">
        <v>4</v>
      </c>
      <c r="I8" s="151">
        <v>45323</v>
      </c>
      <c r="J8" s="55" t="s">
        <v>157</v>
      </c>
      <c r="K8" s="153">
        <v>45847</v>
      </c>
      <c r="L8" s="140">
        <v>5</v>
      </c>
      <c r="M8" s="153">
        <f t="shared" si="1"/>
        <v>46007</v>
      </c>
      <c r="N8" s="155">
        <f t="shared" si="2"/>
        <v>45623</v>
      </c>
      <c r="O8" s="78">
        <f t="shared" si="0"/>
        <v>46287</v>
      </c>
      <c r="P8" s="139"/>
      <c r="Q8" t="s">
        <v>317</v>
      </c>
      <c r="R8" t="s">
        <v>315</v>
      </c>
      <c r="S8" s="206">
        <v>45602</v>
      </c>
      <c r="T8" t="s">
        <v>306</v>
      </c>
      <c r="U8">
        <v>21</v>
      </c>
      <c r="V8" t="s">
        <v>302</v>
      </c>
    </row>
    <row r="9" spans="1:22" x14ac:dyDescent="0.3">
      <c r="A9" s="189">
        <v>8</v>
      </c>
      <c r="B9" s="146" t="s">
        <v>21</v>
      </c>
      <c r="C9" s="135" t="s">
        <v>187</v>
      </c>
      <c r="D9" s="134" t="s">
        <v>22</v>
      </c>
      <c r="E9" s="134" t="s">
        <v>109</v>
      </c>
      <c r="F9" s="149">
        <v>41477</v>
      </c>
      <c r="G9" s="130" t="s">
        <v>222</v>
      </c>
      <c r="H9" s="131">
        <v>5</v>
      </c>
      <c r="I9" s="152">
        <v>45335</v>
      </c>
      <c r="J9" s="132" t="s">
        <v>285</v>
      </c>
      <c r="K9" s="153">
        <v>45847</v>
      </c>
      <c r="L9" s="142">
        <v>8</v>
      </c>
      <c r="M9" s="153">
        <f t="shared" si="1"/>
        <v>45917</v>
      </c>
      <c r="N9" s="155">
        <f t="shared" si="2"/>
        <v>45635</v>
      </c>
      <c r="O9" s="78">
        <f t="shared" si="0"/>
        <v>46197</v>
      </c>
      <c r="P9" s="139"/>
      <c r="Q9" t="s">
        <v>318</v>
      </c>
      <c r="R9" t="s">
        <v>315</v>
      </c>
      <c r="S9" s="206">
        <v>45614</v>
      </c>
      <c r="T9" t="s">
        <v>306</v>
      </c>
      <c r="U9">
        <v>21</v>
      </c>
      <c r="V9" t="s">
        <v>302</v>
      </c>
    </row>
    <row r="10" spans="1:22" x14ac:dyDescent="0.3">
      <c r="A10" s="189">
        <v>9</v>
      </c>
      <c r="B10" s="146" t="s">
        <v>224</v>
      </c>
      <c r="C10" s="135" t="s">
        <v>184</v>
      </c>
      <c r="D10" s="134" t="s">
        <v>225</v>
      </c>
      <c r="E10" s="134" t="s">
        <v>108</v>
      </c>
      <c r="F10" s="149">
        <v>40704</v>
      </c>
      <c r="G10" s="130" t="s">
        <v>222</v>
      </c>
      <c r="H10" s="131">
        <v>6</v>
      </c>
      <c r="I10" s="152">
        <v>45357</v>
      </c>
      <c r="J10" s="132" t="s">
        <v>157</v>
      </c>
      <c r="K10" s="153">
        <v>45847</v>
      </c>
      <c r="L10" s="142">
        <v>8</v>
      </c>
      <c r="M10" s="153">
        <f t="shared" si="1"/>
        <v>45917</v>
      </c>
      <c r="N10" s="155">
        <f t="shared" si="2"/>
        <v>45657</v>
      </c>
      <c r="O10" s="78">
        <f t="shared" si="0"/>
        <v>46197</v>
      </c>
      <c r="P10" s="139"/>
      <c r="Q10" t="s">
        <v>319</v>
      </c>
      <c r="R10" t="s">
        <v>315</v>
      </c>
      <c r="S10" s="206">
        <v>45636</v>
      </c>
      <c r="T10" t="s">
        <v>316</v>
      </c>
      <c r="U10">
        <v>21</v>
      </c>
      <c r="V10" t="s">
        <v>307</v>
      </c>
    </row>
    <row r="11" spans="1:22" x14ac:dyDescent="0.3">
      <c r="A11" s="51">
        <v>10</v>
      </c>
      <c r="B11" s="146" t="s">
        <v>133</v>
      </c>
      <c r="C11" s="135" t="s">
        <v>187</v>
      </c>
      <c r="D11" s="134" t="s">
        <v>223</v>
      </c>
      <c r="E11" s="134" t="s">
        <v>109</v>
      </c>
      <c r="F11" s="149">
        <v>41319</v>
      </c>
      <c r="G11" s="130" t="s">
        <v>222</v>
      </c>
      <c r="H11" s="131">
        <v>4</v>
      </c>
      <c r="I11" s="152">
        <v>45205</v>
      </c>
      <c r="J11" s="132" t="s">
        <v>160</v>
      </c>
      <c r="K11" s="153">
        <v>45847</v>
      </c>
      <c r="L11" s="142"/>
      <c r="M11" s="153">
        <f t="shared" si="1"/>
        <v>46157</v>
      </c>
      <c r="N11" s="155">
        <f t="shared" si="2"/>
        <v>45505</v>
      </c>
      <c r="O11" s="78">
        <f t="shared" si="0"/>
        <v>46437</v>
      </c>
      <c r="P11" s="139"/>
      <c r="Q11" t="s">
        <v>320</v>
      </c>
      <c r="R11" t="s">
        <v>324</v>
      </c>
      <c r="S11" s="206">
        <v>45483</v>
      </c>
      <c r="T11" t="s">
        <v>316</v>
      </c>
      <c r="U11">
        <v>30</v>
      </c>
      <c r="V11" t="s">
        <v>302</v>
      </c>
    </row>
    <row r="12" spans="1:22" x14ac:dyDescent="0.3">
      <c r="A12" s="191">
        <v>11</v>
      </c>
      <c r="B12" s="192" t="s">
        <v>231</v>
      </c>
      <c r="C12" s="193" t="s">
        <v>215</v>
      </c>
      <c r="D12" s="194" t="s">
        <v>232</v>
      </c>
      <c r="E12" s="194" t="s">
        <v>109</v>
      </c>
      <c r="F12" s="195">
        <v>41428</v>
      </c>
      <c r="G12" s="196" t="s">
        <v>222</v>
      </c>
      <c r="H12" s="197">
        <v>6</v>
      </c>
      <c r="I12" s="195">
        <v>45324</v>
      </c>
      <c r="J12" s="198" t="s">
        <v>160</v>
      </c>
      <c r="K12" s="153">
        <v>45847</v>
      </c>
      <c r="L12" s="200"/>
      <c r="M12" s="153">
        <f t="shared" si="1"/>
        <v>46157</v>
      </c>
      <c r="N12" s="201">
        <f t="shared" si="2"/>
        <v>45624</v>
      </c>
      <c r="O12" s="198">
        <f t="shared" si="0"/>
        <v>46437</v>
      </c>
      <c r="P12" s="202" t="s">
        <v>111</v>
      </c>
      <c r="Q12" s="205" t="s">
        <v>336</v>
      </c>
      <c r="R12" s="205" t="s">
        <v>325</v>
      </c>
      <c r="S12" s="209">
        <v>45601</v>
      </c>
      <c r="T12" s="205" t="s">
        <v>334</v>
      </c>
      <c r="U12" s="205" t="s">
        <v>335</v>
      </c>
      <c r="V12" s="205" t="s">
        <v>307</v>
      </c>
    </row>
    <row r="13" spans="1:22" x14ac:dyDescent="0.3">
      <c r="A13" s="189">
        <v>12</v>
      </c>
      <c r="B13" s="146" t="s">
        <v>227</v>
      </c>
      <c r="C13" s="135" t="s">
        <v>215</v>
      </c>
      <c r="D13" s="134" t="s">
        <v>228</v>
      </c>
      <c r="E13" s="134" t="s">
        <v>108</v>
      </c>
      <c r="F13" s="149">
        <v>41826</v>
      </c>
      <c r="G13" s="130" t="s">
        <v>222</v>
      </c>
      <c r="H13" s="131">
        <v>4</v>
      </c>
      <c r="I13" s="152">
        <v>45606</v>
      </c>
      <c r="J13" s="132" t="s">
        <v>157</v>
      </c>
      <c r="K13" s="153">
        <v>45847</v>
      </c>
      <c r="L13" s="142">
        <v>3</v>
      </c>
      <c r="M13" s="153">
        <f t="shared" si="1"/>
        <v>46067</v>
      </c>
      <c r="N13" s="155">
        <f t="shared" si="2"/>
        <v>45906</v>
      </c>
      <c r="O13" s="78">
        <f t="shared" si="0"/>
        <v>46347</v>
      </c>
      <c r="P13" s="139"/>
      <c r="Q13" t="s">
        <v>321</v>
      </c>
      <c r="R13" t="s">
        <v>315</v>
      </c>
      <c r="S13" s="206">
        <v>45881</v>
      </c>
      <c r="T13" t="s">
        <v>316</v>
      </c>
      <c r="U13">
        <v>21</v>
      </c>
      <c r="V13" t="s">
        <v>302</v>
      </c>
    </row>
    <row r="14" spans="1:22" x14ac:dyDescent="0.3">
      <c r="A14" s="189">
        <v>13</v>
      </c>
      <c r="B14" s="146" t="s">
        <v>136</v>
      </c>
      <c r="C14" s="135" t="s">
        <v>187</v>
      </c>
      <c r="D14" s="134" t="s">
        <v>226</v>
      </c>
      <c r="E14" s="134" t="s">
        <v>109</v>
      </c>
      <c r="F14" s="149">
        <v>41431</v>
      </c>
      <c r="G14" s="130" t="s">
        <v>222</v>
      </c>
      <c r="H14" s="131">
        <v>3</v>
      </c>
      <c r="I14" s="152">
        <v>45232</v>
      </c>
      <c r="J14" s="132" t="s">
        <v>276</v>
      </c>
      <c r="K14" s="153">
        <v>45847</v>
      </c>
      <c r="L14" s="142">
        <v>2</v>
      </c>
      <c r="M14" s="153">
        <f t="shared" si="1"/>
        <v>46097</v>
      </c>
      <c r="N14" s="155">
        <f t="shared" si="2"/>
        <v>45532</v>
      </c>
      <c r="O14" s="78">
        <f t="shared" si="0"/>
        <v>46377</v>
      </c>
      <c r="P14" s="139"/>
      <c r="Q14" t="s">
        <v>322</v>
      </c>
      <c r="R14" t="s">
        <v>323</v>
      </c>
      <c r="S14" s="206">
        <v>45509</v>
      </c>
      <c r="T14" t="s">
        <v>306</v>
      </c>
      <c r="U14">
        <v>18</v>
      </c>
      <c r="V14" t="s">
        <v>307</v>
      </c>
    </row>
    <row r="15" spans="1:22" x14ac:dyDescent="0.3">
      <c r="A15" s="189">
        <v>14</v>
      </c>
      <c r="B15" s="146" t="s">
        <v>220</v>
      </c>
      <c r="C15" s="135" t="s">
        <v>184</v>
      </c>
      <c r="D15" s="134" t="s">
        <v>221</v>
      </c>
      <c r="E15" s="134" t="s">
        <v>108</v>
      </c>
      <c r="F15" s="149">
        <v>43128</v>
      </c>
      <c r="G15" s="130" t="s">
        <v>222</v>
      </c>
      <c r="H15" s="131">
        <v>2</v>
      </c>
      <c r="I15" s="152">
        <v>45303</v>
      </c>
      <c r="J15" s="132" t="s">
        <v>157</v>
      </c>
      <c r="K15" s="153">
        <v>45847</v>
      </c>
      <c r="L15" s="142">
        <v>7</v>
      </c>
      <c r="M15" s="153">
        <f t="shared" si="1"/>
        <v>45947</v>
      </c>
      <c r="N15" s="155">
        <f t="shared" si="2"/>
        <v>45603</v>
      </c>
      <c r="O15" s="78">
        <f t="shared" si="0"/>
        <v>46227</v>
      </c>
      <c r="P15" s="143"/>
      <c r="Q15" t="s">
        <v>326</v>
      </c>
      <c r="R15" t="s">
        <v>327</v>
      </c>
      <c r="S15" s="208">
        <v>45581</v>
      </c>
      <c r="T15" t="s">
        <v>306</v>
      </c>
      <c r="U15" s="92">
        <v>21</v>
      </c>
      <c r="V15" t="s">
        <v>302</v>
      </c>
    </row>
    <row r="16" spans="1:22" x14ac:dyDescent="0.3">
      <c r="A16" s="51">
        <v>15</v>
      </c>
      <c r="B16" s="136" t="s">
        <v>218</v>
      </c>
      <c r="C16" s="133" t="s">
        <v>184</v>
      </c>
      <c r="D16" s="134" t="s">
        <v>219</v>
      </c>
      <c r="E16" s="134" t="s">
        <v>108</v>
      </c>
      <c r="F16" s="149">
        <v>42751</v>
      </c>
      <c r="G16" s="130" t="s">
        <v>184</v>
      </c>
      <c r="H16" s="131">
        <v>4</v>
      </c>
      <c r="I16" s="152">
        <v>45712</v>
      </c>
      <c r="J16" s="132" t="s">
        <v>160</v>
      </c>
      <c r="K16" s="153">
        <v>45847</v>
      </c>
      <c r="L16" s="142"/>
      <c r="M16" s="153">
        <f t="shared" si="1"/>
        <v>46157</v>
      </c>
      <c r="N16" s="155">
        <f t="shared" si="2"/>
        <v>46012</v>
      </c>
      <c r="O16" s="78">
        <f t="shared" si="0"/>
        <v>46437</v>
      </c>
      <c r="P16" s="139"/>
      <c r="Q16" t="s">
        <v>328</v>
      </c>
      <c r="R16" t="s">
        <v>325</v>
      </c>
      <c r="S16" s="206">
        <v>45992</v>
      </c>
      <c r="T16" t="s">
        <v>316</v>
      </c>
      <c r="U16">
        <v>28</v>
      </c>
      <c r="V16" t="s">
        <v>307</v>
      </c>
    </row>
    <row r="17" spans="1:345" x14ac:dyDescent="0.3">
      <c r="A17" s="189">
        <v>16</v>
      </c>
      <c r="B17" s="156" t="s">
        <v>217</v>
      </c>
      <c r="C17" s="127" t="s">
        <v>187</v>
      </c>
      <c r="D17" s="53" t="s">
        <v>213</v>
      </c>
      <c r="E17" s="53" t="s">
        <v>109</v>
      </c>
      <c r="F17" s="148">
        <v>42020</v>
      </c>
      <c r="G17" s="124" t="s">
        <v>222</v>
      </c>
      <c r="H17" s="64">
        <v>3</v>
      </c>
      <c r="I17" s="151">
        <v>45458</v>
      </c>
      <c r="J17" s="55" t="s">
        <v>157</v>
      </c>
      <c r="K17" s="153">
        <v>45847</v>
      </c>
      <c r="L17" s="140">
        <v>8</v>
      </c>
      <c r="M17" s="153">
        <f t="shared" si="1"/>
        <v>45917</v>
      </c>
      <c r="N17" s="155">
        <f t="shared" si="2"/>
        <v>45758</v>
      </c>
      <c r="O17" s="78">
        <f t="shared" si="0"/>
        <v>46197</v>
      </c>
      <c r="P17" s="139"/>
      <c r="Q17" t="s">
        <v>329</v>
      </c>
      <c r="R17" t="s">
        <v>327</v>
      </c>
      <c r="S17" s="206">
        <v>45737</v>
      </c>
      <c r="T17" t="s">
        <v>330</v>
      </c>
      <c r="U17">
        <v>21</v>
      </c>
      <c r="V17" t="s">
        <v>302</v>
      </c>
    </row>
    <row r="18" spans="1:345" x14ac:dyDescent="0.3">
      <c r="A18" s="189">
        <v>17</v>
      </c>
      <c r="B18" s="156" t="s">
        <v>211</v>
      </c>
      <c r="C18" s="127" t="s">
        <v>187</v>
      </c>
      <c r="D18" s="53" t="s">
        <v>212</v>
      </c>
      <c r="E18" s="53" t="s">
        <v>109</v>
      </c>
      <c r="F18" s="148">
        <v>41719</v>
      </c>
      <c r="G18" s="124" t="s">
        <v>184</v>
      </c>
      <c r="H18" s="64">
        <v>2</v>
      </c>
      <c r="I18" s="151">
        <v>45592</v>
      </c>
      <c r="J18" s="55" t="s">
        <v>157</v>
      </c>
      <c r="K18" s="153">
        <v>45847</v>
      </c>
      <c r="L18" s="140">
        <v>2</v>
      </c>
      <c r="M18" s="153">
        <f t="shared" si="1"/>
        <v>46097</v>
      </c>
      <c r="N18" s="155">
        <f t="shared" si="2"/>
        <v>45892</v>
      </c>
      <c r="O18" s="78">
        <f t="shared" si="0"/>
        <v>46377</v>
      </c>
      <c r="P18" s="139"/>
      <c r="Q18" s="206">
        <v>45235</v>
      </c>
      <c r="R18" t="s">
        <v>157</v>
      </c>
      <c r="S18" s="206">
        <v>45871</v>
      </c>
      <c r="T18" t="s">
        <v>316</v>
      </c>
      <c r="U18">
        <v>21</v>
      </c>
      <c r="V18" t="s">
        <v>302</v>
      </c>
    </row>
    <row r="19" spans="1:345" x14ac:dyDescent="0.3">
      <c r="A19" s="189">
        <v>18</v>
      </c>
      <c r="B19" s="156" t="s">
        <v>209</v>
      </c>
      <c r="C19" s="127" t="s">
        <v>184</v>
      </c>
      <c r="D19" s="53" t="s">
        <v>210</v>
      </c>
      <c r="E19" s="53" t="s">
        <v>109</v>
      </c>
      <c r="F19" s="148">
        <v>40909</v>
      </c>
      <c r="G19" s="124" t="s">
        <v>184</v>
      </c>
      <c r="H19" s="64">
        <v>5</v>
      </c>
      <c r="I19" s="151">
        <v>45603</v>
      </c>
      <c r="J19" s="55" t="s">
        <v>276</v>
      </c>
      <c r="K19" s="153">
        <v>45847</v>
      </c>
      <c r="L19" s="140">
        <v>1</v>
      </c>
      <c r="M19" s="153">
        <f t="shared" si="1"/>
        <v>46127</v>
      </c>
      <c r="N19" s="155">
        <f t="shared" si="2"/>
        <v>45903</v>
      </c>
      <c r="O19" s="78">
        <f>I19+280</f>
        <v>45883</v>
      </c>
      <c r="P19" s="139"/>
      <c r="Q19" t="s">
        <v>331</v>
      </c>
      <c r="R19" t="s">
        <v>325</v>
      </c>
      <c r="S19" s="206">
        <v>45881</v>
      </c>
      <c r="T19" t="s">
        <v>316</v>
      </c>
      <c r="U19">
        <v>21</v>
      </c>
      <c r="V19" t="s">
        <v>307</v>
      </c>
    </row>
    <row r="20" spans="1:345" x14ac:dyDescent="0.3">
      <c r="A20" s="189">
        <v>19</v>
      </c>
      <c r="B20" s="156" t="s">
        <v>208</v>
      </c>
      <c r="C20" s="127" t="s">
        <v>184</v>
      </c>
      <c r="D20" s="53" t="s">
        <v>34</v>
      </c>
      <c r="E20" s="53" t="s">
        <v>109</v>
      </c>
      <c r="F20" s="148">
        <v>42912</v>
      </c>
      <c r="G20" s="124" t="s">
        <v>184</v>
      </c>
      <c r="H20" s="64">
        <v>2</v>
      </c>
      <c r="I20" s="151">
        <v>45595</v>
      </c>
      <c r="J20" s="55" t="s">
        <v>157</v>
      </c>
      <c r="K20" s="153">
        <v>45847</v>
      </c>
      <c r="L20" s="140">
        <v>2</v>
      </c>
      <c r="M20" s="153">
        <f t="shared" si="1"/>
        <v>46097</v>
      </c>
      <c r="N20" s="155">
        <f t="shared" si="2"/>
        <v>45895</v>
      </c>
      <c r="O20" s="78">
        <f t="shared" ref="O20:O40" si="3">I20+280</f>
        <v>45875</v>
      </c>
      <c r="P20" s="139"/>
      <c r="Q20" s="206">
        <v>45265</v>
      </c>
      <c r="R20" t="s">
        <v>157</v>
      </c>
      <c r="S20" s="206">
        <v>45874</v>
      </c>
      <c r="T20" t="s">
        <v>330</v>
      </c>
      <c r="U20">
        <v>21</v>
      </c>
      <c r="V20" t="s">
        <v>302</v>
      </c>
    </row>
    <row r="21" spans="1:345" x14ac:dyDescent="0.3">
      <c r="A21" s="191">
        <v>20</v>
      </c>
      <c r="B21" s="192" t="s">
        <v>214</v>
      </c>
      <c r="C21" s="193" t="s">
        <v>215</v>
      </c>
      <c r="D21" s="194" t="s">
        <v>216</v>
      </c>
      <c r="E21" s="194" t="s">
        <v>109</v>
      </c>
      <c r="F21" s="195">
        <v>41459</v>
      </c>
      <c r="G21" s="196" t="s">
        <v>184</v>
      </c>
      <c r="H21" s="197">
        <v>6</v>
      </c>
      <c r="I21" s="195">
        <v>45626</v>
      </c>
      <c r="J21" s="198" t="s">
        <v>160</v>
      </c>
      <c r="K21" s="153">
        <v>45847</v>
      </c>
      <c r="L21" s="200"/>
      <c r="M21" s="153">
        <f t="shared" si="1"/>
        <v>46157</v>
      </c>
      <c r="N21" s="201">
        <f t="shared" si="2"/>
        <v>45926</v>
      </c>
      <c r="O21" s="198">
        <f t="shared" si="3"/>
        <v>45906</v>
      </c>
      <c r="P21" s="202" t="s">
        <v>111</v>
      </c>
      <c r="Q21" s="205" t="s">
        <v>332</v>
      </c>
      <c r="R21" s="205" t="s">
        <v>324</v>
      </c>
      <c r="S21" s="209">
        <v>45905</v>
      </c>
      <c r="T21" s="205" t="s">
        <v>334</v>
      </c>
      <c r="U21" s="205" t="s">
        <v>335</v>
      </c>
      <c r="V21" s="205" t="s">
        <v>307</v>
      </c>
    </row>
    <row r="22" spans="1:345" x14ac:dyDescent="0.3">
      <c r="A22" s="191">
        <v>21</v>
      </c>
      <c r="B22" s="192" t="s">
        <v>206</v>
      </c>
      <c r="C22" s="193" t="s">
        <v>184</v>
      </c>
      <c r="D22" s="194" t="s">
        <v>207</v>
      </c>
      <c r="E22" s="194" t="s">
        <v>108</v>
      </c>
      <c r="F22" s="195">
        <v>40544</v>
      </c>
      <c r="G22" s="196" t="s">
        <v>184</v>
      </c>
      <c r="H22" s="197">
        <v>6</v>
      </c>
      <c r="I22" s="195">
        <v>45638</v>
      </c>
      <c r="J22" s="198" t="s">
        <v>160</v>
      </c>
      <c r="K22" s="199">
        <v>45700</v>
      </c>
      <c r="L22" s="200"/>
      <c r="M22" s="153">
        <f t="shared" si="1"/>
        <v>46157</v>
      </c>
      <c r="N22" s="201">
        <f t="shared" si="2"/>
        <v>45938</v>
      </c>
      <c r="O22" s="198">
        <f t="shared" si="3"/>
        <v>45918</v>
      </c>
      <c r="P22" s="202" t="s">
        <v>111</v>
      </c>
      <c r="Q22" s="205" t="s">
        <v>333</v>
      </c>
      <c r="R22" s="205" t="s">
        <v>324</v>
      </c>
      <c r="S22" s="209">
        <v>45917</v>
      </c>
      <c r="T22" s="205" t="s">
        <v>334</v>
      </c>
      <c r="U22" s="205" t="s">
        <v>335</v>
      </c>
      <c r="V22" s="205" t="s">
        <v>307</v>
      </c>
    </row>
    <row r="23" spans="1:345" x14ac:dyDescent="0.3">
      <c r="A23" s="189">
        <v>22</v>
      </c>
      <c r="B23" s="156" t="s">
        <v>204</v>
      </c>
      <c r="C23" s="127" t="s">
        <v>184</v>
      </c>
      <c r="D23" s="53" t="s">
        <v>194</v>
      </c>
      <c r="E23" s="53" t="s">
        <v>108</v>
      </c>
      <c r="F23" s="148">
        <v>43112</v>
      </c>
      <c r="G23" s="124" t="s">
        <v>184</v>
      </c>
      <c r="H23" s="64">
        <v>2</v>
      </c>
      <c r="I23" s="151">
        <v>45626</v>
      </c>
      <c r="J23" s="55" t="s">
        <v>157</v>
      </c>
      <c r="K23" s="153">
        <v>45847</v>
      </c>
      <c r="L23" s="140">
        <v>2</v>
      </c>
      <c r="M23" s="153">
        <f t="shared" si="1"/>
        <v>46097</v>
      </c>
      <c r="N23" s="155">
        <f t="shared" si="2"/>
        <v>45926</v>
      </c>
      <c r="O23" s="78">
        <f t="shared" si="3"/>
        <v>45906</v>
      </c>
      <c r="P23" s="139"/>
      <c r="Q23" s="206">
        <v>45260</v>
      </c>
      <c r="R23" t="s">
        <v>157</v>
      </c>
      <c r="S23" s="206">
        <v>45906</v>
      </c>
      <c r="T23" t="s">
        <v>330</v>
      </c>
      <c r="U23">
        <v>21</v>
      </c>
      <c r="V23" t="s">
        <v>302</v>
      </c>
    </row>
    <row r="24" spans="1:345" s="188" customFormat="1" x14ac:dyDescent="0.3">
      <c r="A24" s="191">
        <v>23</v>
      </c>
      <c r="B24" s="192" t="s">
        <v>31</v>
      </c>
      <c r="C24" s="193" t="s">
        <v>187</v>
      </c>
      <c r="D24" s="194" t="s">
        <v>205</v>
      </c>
      <c r="E24" s="194" t="s">
        <v>109</v>
      </c>
      <c r="F24" s="195">
        <v>39094</v>
      </c>
      <c r="G24" s="196" t="s">
        <v>222</v>
      </c>
      <c r="H24" s="197">
        <v>6</v>
      </c>
      <c r="I24" s="195">
        <v>45432</v>
      </c>
      <c r="J24" s="198" t="s">
        <v>160</v>
      </c>
      <c r="K24" s="153">
        <v>45847</v>
      </c>
      <c r="L24" s="200"/>
      <c r="M24" s="153">
        <f t="shared" si="1"/>
        <v>46157</v>
      </c>
      <c r="N24" s="201">
        <f t="shared" si="2"/>
        <v>45732</v>
      </c>
      <c r="O24" s="198">
        <f t="shared" si="3"/>
        <v>45712</v>
      </c>
      <c r="P24" s="202" t="s">
        <v>111</v>
      </c>
      <c r="Q24" s="205" t="s">
        <v>337</v>
      </c>
      <c r="R24" s="205" t="s">
        <v>324</v>
      </c>
      <c r="S24" s="209">
        <v>45711</v>
      </c>
      <c r="T24" s="205" t="s">
        <v>334</v>
      </c>
      <c r="U24" s="205" t="s">
        <v>335</v>
      </c>
      <c r="V24" s="205" t="s">
        <v>307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</row>
    <row r="25" spans="1:345" s="187" customFormat="1" x14ac:dyDescent="0.3">
      <c r="A25" s="190">
        <v>24</v>
      </c>
      <c r="B25" s="179" t="s">
        <v>202</v>
      </c>
      <c r="C25" s="180" t="s">
        <v>184</v>
      </c>
      <c r="D25" s="181" t="s">
        <v>203</v>
      </c>
      <c r="E25" s="181" t="s">
        <v>108</v>
      </c>
      <c r="F25" s="182">
        <v>42741</v>
      </c>
      <c r="G25" s="183" t="s">
        <v>184</v>
      </c>
      <c r="H25" s="184">
        <v>2</v>
      </c>
      <c r="I25" s="182">
        <v>45610</v>
      </c>
      <c r="J25" s="55" t="s">
        <v>157</v>
      </c>
      <c r="K25" s="153">
        <v>45847</v>
      </c>
      <c r="L25" s="41">
        <v>2</v>
      </c>
      <c r="M25" s="153">
        <f t="shared" si="1"/>
        <v>46097</v>
      </c>
      <c r="N25" s="186">
        <f t="shared" si="2"/>
        <v>45910</v>
      </c>
      <c r="O25" s="185">
        <f t="shared" si="3"/>
        <v>45890</v>
      </c>
      <c r="Q25" s="210">
        <v>45376</v>
      </c>
      <c r="R25" s="187" t="s">
        <v>157</v>
      </c>
      <c r="S25" s="210">
        <v>45889</v>
      </c>
      <c r="T25" s="187" t="s">
        <v>330</v>
      </c>
      <c r="U25" s="187">
        <v>21</v>
      </c>
      <c r="V25" s="187" t="s">
        <v>302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</row>
    <row r="26" spans="1:345" x14ac:dyDescent="0.3">
      <c r="A26" s="190">
        <v>25</v>
      </c>
      <c r="B26" s="156" t="s">
        <v>19</v>
      </c>
      <c r="C26" s="127" t="s">
        <v>187</v>
      </c>
      <c r="D26" s="53" t="s">
        <v>201</v>
      </c>
      <c r="E26" s="129" t="s">
        <v>109</v>
      </c>
      <c r="F26" s="148">
        <v>41010</v>
      </c>
      <c r="G26" s="124" t="s">
        <v>184</v>
      </c>
      <c r="H26" s="64">
        <v>6</v>
      </c>
      <c r="I26" s="151">
        <v>45598</v>
      </c>
      <c r="J26" s="55" t="s">
        <v>157</v>
      </c>
      <c r="K26" s="153">
        <v>45847</v>
      </c>
      <c r="L26" s="140">
        <v>2</v>
      </c>
      <c r="M26" s="153">
        <f t="shared" si="1"/>
        <v>46097</v>
      </c>
      <c r="N26" s="155">
        <f>I26+300</f>
        <v>45898</v>
      </c>
      <c r="O26" s="78">
        <f t="shared" si="3"/>
        <v>45878</v>
      </c>
      <c r="P26" s="139"/>
      <c r="Q26" s="206">
        <v>45332</v>
      </c>
      <c r="R26" s="211" t="s">
        <v>157</v>
      </c>
      <c r="S26" s="206">
        <v>45877</v>
      </c>
      <c r="T26" s="211" t="s">
        <v>316</v>
      </c>
      <c r="U26">
        <v>21</v>
      </c>
      <c r="V26" s="211" t="s">
        <v>302</v>
      </c>
    </row>
    <row r="27" spans="1:345" x14ac:dyDescent="0.3">
      <c r="A27" s="51">
        <v>26</v>
      </c>
      <c r="B27" s="156" t="s">
        <v>199</v>
      </c>
      <c r="C27" s="127" t="s">
        <v>184</v>
      </c>
      <c r="D27" s="53" t="s">
        <v>200</v>
      </c>
      <c r="E27" s="53" t="s">
        <v>108</v>
      </c>
      <c r="F27" s="148">
        <v>43139</v>
      </c>
      <c r="G27" s="124" t="s">
        <v>222</v>
      </c>
      <c r="H27" s="64">
        <v>1</v>
      </c>
      <c r="I27" s="151">
        <v>45001</v>
      </c>
      <c r="J27" s="55" t="s">
        <v>160</v>
      </c>
      <c r="K27" s="153">
        <v>45847</v>
      </c>
      <c r="L27" s="140"/>
      <c r="M27" s="153">
        <f t="shared" si="1"/>
        <v>46157</v>
      </c>
      <c r="N27" s="155">
        <f t="shared" si="2"/>
        <v>45301</v>
      </c>
      <c r="O27" s="78">
        <f t="shared" si="3"/>
        <v>45281</v>
      </c>
      <c r="P27" s="139"/>
      <c r="Q27" t="s">
        <v>338</v>
      </c>
      <c r="R27" s="211" t="s">
        <v>325</v>
      </c>
      <c r="S27" s="206">
        <v>45280</v>
      </c>
      <c r="T27" t="s">
        <v>330</v>
      </c>
      <c r="U27">
        <v>25</v>
      </c>
      <c r="V27" s="211" t="s">
        <v>307</v>
      </c>
    </row>
    <row r="28" spans="1:345" x14ac:dyDescent="0.3">
      <c r="A28" s="190">
        <v>27</v>
      </c>
      <c r="B28" s="156" t="s">
        <v>196</v>
      </c>
      <c r="C28" s="127" t="s">
        <v>184</v>
      </c>
      <c r="D28" s="53" t="s">
        <v>197</v>
      </c>
      <c r="E28" s="53" t="s">
        <v>108</v>
      </c>
      <c r="F28" s="148">
        <v>42748</v>
      </c>
      <c r="G28" s="124" t="s">
        <v>184</v>
      </c>
      <c r="H28" s="64">
        <v>2</v>
      </c>
      <c r="I28" s="151">
        <v>45625</v>
      </c>
      <c r="J28" s="55" t="s">
        <v>157</v>
      </c>
      <c r="K28" s="153">
        <v>45847</v>
      </c>
      <c r="L28" s="140">
        <v>3.5</v>
      </c>
      <c r="M28" s="153">
        <f t="shared" si="1"/>
        <v>46052</v>
      </c>
      <c r="N28" s="155">
        <f t="shared" si="2"/>
        <v>45925</v>
      </c>
      <c r="O28" s="78">
        <f t="shared" si="3"/>
        <v>45905</v>
      </c>
      <c r="P28" s="139"/>
      <c r="Q28" s="206">
        <v>45384</v>
      </c>
      <c r="R28" t="s">
        <v>157</v>
      </c>
      <c r="S28" s="206">
        <v>45904</v>
      </c>
      <c r="T28" t="s">
        <v>330</v>
      </c>
      <c r="U28">
        <v>21</v>
      </c>
      <c r="V28" s="211" t="s">
        <v>302</v>
      </c>
    </row>
    <row r="29" spans="1:345" x14ac:dyDescent="0.3">
      <c r="A29" s="189">
        <v>28</v>
      </c>
      <c r="B29" s="156" t="s">
        <v>193</v>
      </c>
      <c r="C29" s="127" t="s">
        <v>184</v>
      </c>
      <c r="D29" s="53" t="s">
        <v>294</v>
      </c>
      <c r="E29" s="53" t="s">
        <v>108</v>
      </c>
      <c r="F29" s="148">
        <v>43099</v>
      </c>
      <c r="G29" s="124" t="s">
        <v>222</v>
      </c>
      <c r="H29" s="64">
        <v>1</v>
      </c>
      <c r="I29" s="151">
        <v>45009</v>
      </c>
      <c r="J29" s="55" t="s">
        <v>157</v>
      </c>
      <c r="K29" s="153">
        <v>45847</v>
      </c>
      <c r="L29" s="140">
        <v>3</v>
      </c>
      <c r="M29" s="153">
        <f t="shared" si="1"/>
        <v>46067</v>
      </c>
      <c r="N29" s="155">
        <f t="shared" si="2"/>
        <v>45309</v>
      </c>
      <c r="O29" s="78">
        <f t="shared" si="3"/>
        <v>45289</v>
      </c>
      <c r="P29" s="139"/>
      <c r="Q29" s="206">
        <v>44925</v>
      </c>
      <c r="R29" t="s">
        <v>157</v>
      </c>
      <c r="S29" s="206">
        <v>44985</v>
      </c>
      <c r="T29" s="211" t="s">
        <v>316</v>
      </c>
      <c r="U29">
        <v>21</v>
      </c>
      <c r="V29" s="211" t="s">
        <v>302</v>
      </c>
    </row>
    <row r="30" spans="1:345" x14ac:dyDescent="0.3">
      <c r="A30" s="189">
        <v>29</v>
      </c>
      <c r="B30" s="156" t="s">
        <v>191</v>
      </c>
      <c r="C30" s="127" t="s">
        <v>184</v>
      </c>
      <c r="D30" s="53" t="s">
        <v>192</v>
      </c>
      <c r="E30" s="53" t="s">
        <v>108</v>
      </c>
      <c r="F30" s="148">
        <v>43140</v>
      </c>
      <c r="G30" s="124" t="s">
        <v>222</v>
      </c>
      <c r="H30" s="64">
        <v>1</v>
      </c>
      <c r="I30" s="151">
        <v>45012</v>
      </c>
      <c r="J30" s="55" t="s">
        <v>157</v>
      </c>
      <c r="K30" s="153">
        <v>45847</v>
      </c>
      <c r="L30" s="140">
        <v>3</v>
      </c>
      <c r="M30" s="153">
        <f>(315-((L30*30)+5))+$K$2</f>
        <v>46067</v>
      </c>
      <c r="N30" s="155">
        <f t="shared" si="2"/>
        <v>45312</v>
      </c>
      <c r="O30" s="78">
        <f t="shared" si="3"/>
        <v>45292</v>
      </c>
      <c r="P30" s="139"/>
      <c r="Q30" s="206">
        <v>44931</v>
      </c>
      <c r="R30" t="s">
        <v>157</v>
      </c>
      <c r="S30" s="206">
        <v>44991</v>
      </c>
      <c r="T30" t="s">
        <v>330</v>
      </c>
      <c r="U30">
        <v>21</v>
      </c>
      <c r="V30" s="211" t="s">
        <v>302</v>
      </c>
    </row>
    <row r="31" spans="1:345" x14ac:dyDescent="0.3">
      <c r="A31" s="189">
        <v>30</v>
      </c>
      <c r="B31" s="156" t="s">
        <v>188</v>
      </c>
      <c r="C31" s="127" t="s">
        <v>184</v>
      </c>
      <c r="D31" s="53" t="s">
        <v>190</v>
      </c>
      <c r="E31" s="53" t="s">
        <v>108</v>
      </c>
      <c r="F31" s="148">
        <v>43141</v>
      </c>
      <c r="G31" s="124" t="s">
        <v>184</v>
      </c>
      <c r="H31" s="64">
        <v>2</v>
      </c>
      <c r="I31" s="151">
        <v>45604</v>
      </c>
      <c r="J31" s="55" t="s">
        <v>157</v>
      </c>
      <c r="K31" s="153">
        <v>45847</v>
      </c>
      <c r="L31" s="140">
        <v>3</v>
      </c>
      <c r="M31" s="153">
        <f t="shared" si="1"/>
        <v>46067</v>
      </c>
      <c r="N31" s="155">
        <f t="shared" si="2"/>
        <v>45904</v>
      </c>
      <c r="O31" s="78">
        <f t="shared" si="3"/>
        <v>45884</v>
      </c>
      <c r="P31" s="139"/>
      <c r="Q31" s="206">
        <v>45366</v>
      </c>
      <c r="R31" t="s">
        <v>157</v>
      </c>
      <c r="S31" s="206">
        <v>45900</v>
      </c>
      <c r="T31" t="s">
        <v>316</v>
      </c>
      <c r="U31">
        <v>21</v>
      </c>
      <c r="V31" s="211" t="s">
        <v>302</v>
      </c>
    </row>
    <row r="32" spans="1:345" x14ac:dyDescent="0.3">
      <c r="A32" s="51">
        <v>31</v>
      </c>
      <c r="B32" s="156" t="s">
        <v>180</v>
      </c>
      <c r="C32" s="127" t="s">
        <v>187</v>
      </c>
      <c r="D32" s="53" t="s">
        <v>161</v>
      </c>
      <c r="E32" s="53" t="s">
        <v>109</v>
      </c>
      <c r="F32" s="148">
        <v>41761</v>
      </c>
      <c r="G32" s="124" t="s">
        <v>184</v>
      </c>
      <c r="H32" s="64">
        <v>4</v>
      </c>
      <c r="I32" s="151">
        <v>45626</v>
      </c>
      <c r="J32" s="55" t="s">
        <v>160</v>
      </c>
      <c r="K32" s="153">
        <v>45847</v>
      </c>
      <c r="L32" s="140"/>
      <c r="M32" s="153">
        <f t="shared" si="1"/>
        <v>46157</v>
      </c>
      <c r="N32" s="155">
        <f t="shared" si="2"/>
        <v>45926</v>
      </c>
      <c r="O32" s="78">
        <f t="shared" si="3"/>
        <v>45906</v>
      </c>
      <c r="P32" s="139"/>
      <c r="Q32" t="s">
        <v>339</v>
      </c>
      <c r="R32" t="s">
        <v>325</v>
      </c>
      <c r="S32" s="206">
        <v>45912</v>
      </c>
      <c r="T32" t="s">
        <v>330</v>
      </c>
      <c r="U32" t="s">
        <v>335</v>
      </c>
      <c r="V32" s="211" t="s">
        <v>307</v>
      </c>
    </row>
    <row r="33" spans="1:22" x14ac:dyDescent="0.3">
      <c r="A33" s="189">
        <v>32</v>
      </c>
      <c r="B33" s="156" t="s">
        <v>29</v>
      </c>
      <c r="C33" s="127" t="s">
        <v>187</v>
      </c>
      <c r="D33" s="53" t="s">
        <v>30</v>
      </c>
      <c r="E33" s="53" t="s">
        <v>109</v>
      </c>
      <c r="F33" s="148">
        <v>41255</v>
      </c>
      <c r="G33" s="124" t="s">
        <v>184</v>
      </c>
      <c r="H33" s="64">
        <v>5</v>
      </c>
      <c r="I33" s="151">
        <v>45600</v>
      </c>
      <c r="J33" s="55" t="s">
        <v>157</v>
      </c>
      <c r="K33" s="153">
        <v>45847</v>
      </c>
      <c r="L33" s="140">
        <v>3</v>
      </c>
      <c r="M33" s="153">
        <f t="shared" si="1"/>
        <v>46067</v>
      </c>
      <c r="N33" s="155">
        <f t="shared" si="2"/>
        <v>45900</v>
      </c>
      <c r="O33" s="78">
        <f t="shared" si="3"/>
        <v>45880</v>
      </c>
      <c r="P33" s="139"/>
      <c r="Q33" s="206">
        <v>45334</v>
      </c>
      <c r="R33" t="s">
        <v>157</v>
      </c>
      <c r="S33" s="206">
        <v>45896</v>
      </c>
      <c r="T33" t="s">
        <v>330</v>
      </c>
      <c r="U33">
        <v>21</v>
      </c>
      <c r="V33" s="211" t="s">
        <v>302</v>
      </c>
    </row>
    <row r="34" spans="1:22" x14ac:dyDescent="0.3">
      <c r="A34" s="189">
        <v>33</v>
      </c>
      <c r="B34" s="156" t="s">
        <v>185</v>
      </c>
      <c r="C34" s="127" t="s">
        <v>187</v>
      </c>
      <c r="D34" s="53" t="s">
        <v>250</v>
      </c>
      <c r="E34" s="53" t="s">
        <v>109</v>
      </c>
      <c r="F34" s="148">
        <v>43166</v>
      </c>
      <c r="G34" s="124" t="s">
        <v>222</v>
      </c>
      <c r="H34" s="64">
        <v>1</v>
      </c>
      <c r="I34" s="151">
        <v>45034</v>
      </c>
      <c r="J34" s="55" t="s">
        <v>157</v>
      </c>
      <c r="K34" s="153">
        <v>45847</v>
      </c>
      <c r="L34" s="140">
        <v>2.5</v>
      </c>
      <c r="M34" s="153">
        <f t="shared" si="1"/>
        <v>46082</v>
      </c>
      <c r="N34" s="155">
        <f t="shared" si="2"/>
        <v>45334</v>
      </c>
      <c r="O34" s="78">
        <f t="shared" si="3"/>
        <v>45314</v>
      </c>
      <c r="P34" s="139"/>
      <c r="Q34" s="206">
        <v>44948</v>
      </c>
      <c r="R34" t="s">
        <v>157</v>
      </c>
      <c r="S34" s="206">
        <v>45013</v>
      </c>
      <c r="T34" t="s">
        <v>316</v>
      </c>
      <c r="U34">
        <v>21</v>
      </c>
      <c r="V34" s="211" t="s">
        <v>302</v>
      </c>
    </row>
    <row r="35" spans="1:22" x14ac:dyDescent="0.3">
      <c r="A35" s="191">
        <v>34</v>
      </c>
      <c r="B35" s="192" t="s">
        <v>83</v>
      </c>
      <c r="C35" s="193" t="s">
        <v>187</v>
      </c>
      <c r="D35" s="194" t="s">
        <v>84</v>
      </c>
      <c r="E35" s="194" t="s">
        <v>108</v>
      </c>
      <c r="F35" s="195">
        <v>41246</v>
      </c>
      <c r="G35" s="196" t="s">
        <v>184</v>
      </c>
      <c r="H35" s="197">
        <v>6</v>
      </c>
      <c r="I35" s="195">
        <v>45626</v>
      </c>
      <c r="J35" s="198" t="s">
        <v>160</v>
      </c>
      <c r="K35" s="153">
        <v>45847</v>
      </c>
      <c r="L35" s="200"/>
      <c r="M35" s="153">
        <f t="shared" si="1"/>
        <v>46157</v>
      </c>
      <c r="N35" s="201">
        <f t="shared" si="2"/>
        <v>45926</v>
      </c>
      <c r="O35" s="198">
        <f t="shared" si="3"/>
        <v>45906</v>
      </c>
      <c r="P35" s="202" t="s">
        <v>111</v>
      </c>
      <c r="Q35" s="205" t="s">
        <v>340</v>
      </c>
      <c r="R35" s="205" t="s">
        <v>324</v>
      </c>
      <c r="S35" s="209">
        <v>45912</v>
      </c>
      <c r="T35" s="205" t="s">
        <v>334</v>
      </c>
      <c r="U35" s="205" t="s">
        <v>335</v>
      </c>
      <c r="V35" s="205" t="s">
        <v>307</v>
      </c>
    </row>
    <row r="36" spans="1:22" x14ac:dyDescent="0.3">
      <c r="A36" s="189">
        <v>35</v>
      </c>
      <c r="B36" s="146" t="s">
        <v>248</v>
      </c>
      <c r="C36" s="135" t="s">
        <v>184</v>
      </c>
      <c r="D36" s="134" t="s">
        <v>249</v>
      </c>
      <c r="E36" s="134" t="s">
        <v>108</v>
      </c>
      <c r="F36" s="149">
        <v>42739</v>
      </c>
      <c r="G36" s="130" t="s">
        <v>184</v>
      </c>
      <c r="H36" s="131">
        <v>2</v>
      </c>
      <c r="I36" s="152">
        <v>45626</v>
      </c>
      <c r="J36" s="132" t="s">
        <v>157</v>
      </c>
      <c r="K36" s="153">
        <v>45847</v>
      </c>
      <c r="L36" s="140">
        <v>3.5</v>
      </c>
      <c r="M36" s="153">
        <f t="shared" si="1"/>
        <v>46052</v>
      </c>
      <c r="N36" s="155">
        <f t="shared" si="2"/>
        <v>45926</v>
      </c>
      <c r="O36" s="78">
        <f t="shared" si="3"/>
        <v>45906</v>
      </c>
      <c r="P36" s="139"/>
      <c r="Q36" s="206">
        <v>45369</v>
      </c>
      <c r="R36" t="s">
        <v>157</v>
      </c>
      <c r="S36" s="206">
        <v>45912</v>
      </c>
      <c r="T36" t="s">
        <v>330</v>
      </c>
      <c r="U36">
        <v>21</v>
      </c>
      <c r="V36" s="211" t="s">
        <v>302</v>
      </c>
    </row>
    <row r="37" spans="1:22" x14ac:dyDescent="0.3">
      <c r="A37" s="190">
        <v>36</v>
      </c>
      <c r="B37" s="146" t="s">
        <v>263</v>
      </c>
      <c r="C37" s="135" t="s">
        <v>184</v>
      </c>
      <c r="D37" s="134" t="s">
        <v>264</v>
      </c>
      <c r="E37" s="134" t="s">
        <v>109</v>
      </c>
      <c r="F37" s="149">
        <v>43118</v>
      </c>
      <c r="G37" s="130" t="s">
        <v>184</v>
      </c>
      <c r="H37" s="131">
        <v>3</v>
      </c>
      <c r="I37" s="152">
        <v>45626</v>
      </c>
      <c r="J37" s="132" t="s">
        <v>157</v>
      </c>
      <c r="K37" s="153">
        <v>45847</v>
      </c>
      <c r="L37" s="158">
        <v>3</v>
      </c>
      <c r="M37" s="153">
        <f t="shared" si="1"/>
        <v>46067</v>
      </c>
      <c r="N37" s="155">
        <f t="shared" si="2"/>
        <v>45926</v>
      </c>
      <c r="O37" s="78">
        <f t="shared" si="3"/>
        <v>45906</v>
      </c>
      <c r="P37" s="139"/>
      <c r="Q37" s="206">
        <v>45373</v>
      </c>
      <c r="R37" t="s">
        <v>157</v>
      </c>
      <c r="S37" s="206">
        <v>45912</v>
      </c>
      <c r="T37" s="211" t="s">
        <v>316</v>
      </c>
      <c r="U37">
        <v>21</v>
      </c>
      <c r="V37" s="211" t="s">
        <v>302</v>
      </c>
    </row>
    <row r="38" spans="1:22" x14ac:dyDescent="0.3">
      <c r="A38" s="191">
        <v>37</v>
      </c>
      <c r="B38" s="192" t="s">
        <v>262</v>
      </c>
      <c r="C38" s="193" t="s">
        <v>184</v>
      </c>
      <c r="D38" s="194">
        <v>38</v>
      </c>
      <c r="E38" s="194" t="s">
        <v>109</v>
      </c>
      <c r="F38" s="195">
        <v>40461</v>
      </c>
      <c r="G38" s="196" t="s">
        <v>184</v>
      </c>
      <c r="H38" s="197">
        <v>6</v>
      </c>
      <c r="I38" s="195">
        <v>45631</v>
      </c>
      <c r="J38" s="198" t="s">
        <v>160</v>
      </c>
      <c r="K38" s="153">
        <v>45847</v>
      </c>
      <c r="L38" s="200"/>
      <c r="M38" s="153">
        <f t="shared" si="1"/>
        <v>46157</v>
      </c>
      <c r="N38" s="201">
        <f t="shared" si="2"/>
        <v>45931</v>
      </c>
      <c r="O38" s="198">
        <f t="shared" si="3"/>
        <v>45911</v>
      </c>
      <c r="P38" s="202" t="s">
        <v>111</v>
      </c>
      <c r="Q38" s="205" t="s">
        <v>341</v>
      </c>
      <c r="R38" s="205" t="s">
        <v>325</v>
      </c>
      <c r="S38" s="209">
        <v>45917</v>
      </c>
      <c r="T38" s="205" t="s">
        <v>342</v>
      </c>
      <c r="U38" s="205" t="s">
        <v>335</v>
      </c>
      <c r="V38" s="205" t="s">
        <v>307</v>
      </c>
    </row>
    <row r="39" spans="1:22" x14ac:dyDescent="0.3">
      <c r="A39" s="51">
        <v>38</v>
      </c>
      <c r="B39" s="156" t="s">
        <v>189</v>
      </c>
      <c r="C39" s="127" t="s">
        <v>184</v>
      </c>
      <c r="D39" s="53" t="s">
        <v>183</v>
      </c>
      <c r="E39" s="53" t="s">
        <v>109</v>
      </c>
      <c r="F39" s="148">
        <v>43142</v>
      </c>
      <c r="G39" s="124" t="s">
        <v>184</v>
      </c>
      <c r="H39" s="64">
        <v>2</v>
      </c>
      <c r="I39" s="151">
        <v>45609</v>
      </c>
      <c r="J39" s="55" t="s">
        <v>160</v>
      </c>
      <c r="K39" s="153">
        <v>45847</v>
      </c>
      <c r="L39" s="140"/>
      <c r="M39" s="153">
        <f t="shared" si="1"/>
        <v>46157</v>
      </c>
      <c r="N39" s="155">
        <f t="shared" si="2"/>
        <v>45909</v>
      </c>
      <c r="O39" s="139">
        <f t="shared" si="3"/>
        <v>45889</v>
      </c>
      <c r="P39" s="139"/>
      <c r="Q39" t="s">
        <v>343</v>
      </c>
      <c r="R39" t="s">
        <v>325</v>
      </c>
      <c r="S39" s="206">
        <v>45888</v>
      </c>
      <c r="T39" t="s">
        <v>342</v>
      </c>
      <c r="U39">
        <v>24</v>
      </c>
      <c r="V39" s="211" t="s">
        <v>307</v>
      </c>
    </row>
    <row r="40" spans="1:22" x14ac:dyDescent="0.3">
      <c r="A40" s="189">
        <v>39</v>
      </c>
      <c r="B40" s="156" t="s">
        <v>272</v>
      </c>
      <c r="C40" s="127" t="s">
        <v>187</v>
      </c>
      <c r="D40" s="53" t="s">
        <v>283</v>
      </c>
      <c r="E40" s="53" t="s">
        <v>109</v>
      </c>
      <c r="F40" s="148">
        <v>43178</v>
      </c>
      <c r="G40" s="124" t="s">
        <v>222</v>
      </c>
      <c r="H40" s="64">
        <v>1</v>
      </c>
      <c r="I40" s="151">
        <v>45339</v>
      </c>
      <c r="J40" s="55" t="s">
        <v>157</v>
      </c>
      <c r="K40" s="153">
        <v>45847</v>
      </c>
      <c r="L40" s="140">
        <v>6.5</v>
      </c>
      <c r="M40" s="153">
        <f t="shared" si="1"/>
        <v>45962</v>
      </c>
      <c r="N40" s="155">
        <f t="shared" si="2"/>
        <v>45639</v>
      </c>
      <c r="O40" s="139">
        <f t="shared" si="3"/>
        <v>45619</v>
      </c>
      <c r="P40" s="139"/>
      <c r="Q40" s="206">
        <v>45231</v>
      </c>
      <c r="R40" t="s">
        <v>157</v>
      </c>
      <c r="S40" s="206">
        <v>45318</v>
      </c>
      <c r="T40" s="211" t="s">
        <v>316</v>
      </c>
      <c r="U40">
        <v>21</v>
      </c>
      <c r="V40" s="211" t="s">
        <v>302</v>
      </c>
    </row>
    <row r="41" spans="1:22" x14ac:dyDescent="0.3">
      <c r="A41" s="51">
        <v>43</v>
      </c>
      <c r="B41" s="156" t="s">
        <v>273</v>
      </c>
      <c r="C41" s="127" t="s">
        <v>274</v>
      </c>
      <c r="D41" s="53" t="s">
        <v>275</v>
      </c>
      <c r="E41" s="53" t="s">
        <v>109</v>
      </c>
      <c r="F41" s="148">
        <v>43171</v>
      </c>
      <c r="G41" s="124" t="s">
        <v>222</v>
      </c>
      <c r="H41" s="64">
        <v>3</v>
      </c>
      <c r="I41" s="151">
        <v>45656</v>
      </c>
      <c r="J41" s="55" t="s">
        <v>160</v>
      </c>
      <c r="K41" s="153">
        <v>45847</v>
      </c>
      <c r="L41" s="140"/>
      <c r="M41" s="153">
        <f t="shared" si="1"/>
        <v>46157</v>
      </c>
      <c r="N41" s="155">
        <f>I41+300</f>
        <v>45956</v>
      </c>
      <c r="O41" s="139"/>
      <c r="P41" s="139"/>
      <c r="Q41" t="s">
        <v>344</v>
      </c>
      <c r="R41" t="s">
        <v>325</v>
      </c>
      <c r="S41" s="206">
        <v>45935</v>
      </c>
      <c r="T41" t="s">
        <v>334</v>
      </c>
      <c r="U41">
        <v>23</v>
      </c>
      <c r="V41" s="211" t="s">
        <v>307</v>
      </c>
    </row>
    <row r="42" spans="1:22" x14ac:dyDescent="0.3">
      <c r="A42" s="189">
        <v>45</v>
      </c>
      <c r="B42" s="157">
        <v>799</v>
      </c>
      <c r="C42" s="128" t="s">
        <v>187</v>
      </c>
      <c r="D42" s="50" t="s">
        <v>284</v>
      </c>
      <c r="E42" s="53" t="s">
        <v>108</v>
      </c>
      <c r="F42" s="148">
        <v>43559</v>
      </c>
      <c r="G42" s="124" t="s">
        <v>222</v>
      </c>
      <c r="H42" s="64">
        <v>1</v>
      </c>
      <c r="I42" s="151">
        <v>45427</v>
      </c>
      <c r="J42" s="55" t="s">
        <v>157</v>
      </c>
      <c r="K42" s="153">
        <v>45847</v>
      </c>
      <c r="L42" s="140">
        <v>2</v>
      </c>
      <c r="M42" s="153">
        <f t="shared" si="1"/>
        <v>46097</v>
      </c>
      <c r="N42" s="155">
        <f t="shared" si="2"/>
        <v>45727</v>
      </c>
      <c r="O42" s="139"/>
      <c r="P42" s="139"/>
      <c r="Q42" s="206">
        <v>45406</v>
      </c>
      <c r="R42" t="s">
        <v>157</v>
      </c>
      <c r="S42" s="206">
        <v>45406</v>
      </c>
      <c r="T42" t="s">
        <v>316</v>
      </c>
      <c r="U42">
        <v>21</v>
      </c>
      <c r="V42" s="211" t="s">
        <v>302</v>
      </c>
    </row>
    <row r="43" spans="1:22" x14ac:dyDescent="0.3">
      <c r="A43" s="51">
        <v>47</v>
      </c>
      <c r="B43" s="126" t="s">
        <v>279</v>
      </c>
      <c r="C43" s="127" t="s">
        <v>278</v>
      </c>
      <c r="D43" s="53" t="s">
        <v>286</v>
      </c>
      <c r="E43" s="53" t="s">
        <v>277</v>
      </c>
      <c r="F43" s="177">
        <v>43559</v>
      </c>
      <c r="G43" s="124" t="s">
        <v>184</v>
      </c>
      <c r="H43" s="64">
        <v>2</v>
      </c>
      <c r="I43" s="151">
        <v>45673</v>
      </c>
      <c r="J43" s="55" t="s">
        <v>160</v>
      </c>
      <c r="K43" s="153">
        <v>45847</v>
      </c>
      <c r="L43" s="140"/>
      <c r="M43" s="153">
        <f t="shared" si="1"/>
        <v>46157</v>
      </c>
      <c r="N43" s="155">
        <f t="shared" si="2"/>
        <v>45973</v>
      </c>
      <c r="O43" s="139"/>
      <c r="P43" s="139"/>
      <c r="Q43" t="s">
        <v>345</v>
      </c>
      <c r="R43" t="s">
        <v>325</v>
      </c>
      <c r="S43" s="206">
        <v>45952</v>
      </c>
      <c r="T43" t="s">
        <v>342</v>
      </c>
      <c r="U43">
        <v>24</v>
      </c>
      <c r="V43" s="211" t="s">
        <v>307</v>
      </c>
    </row>
    <row r="44" spans="1:22" x14ac:dyDescent="0.3">
      <c r="A44" s="51">
        <v>48</v>
      </c>
      <c r="B44" s="126" t="s">
        <v>280</v>
      </c>
      <c r="C44" s="127" t="s">
        <v>278</v>
      </c>
      <c r="D44" s="53" t="s">
        <v>287</v>
      </c>
      <c r="E44" s="53" t="s">
        <v>184</v>
      </c>
      <c r="F44" s="177">
        <v>43560</v>
      </c>
      <c r="G44" s="124" t="s">
        <v>184</v>
      </c>
      <c r="H44" s="64">
        <v>2</v>
      </c>
      <c r="I44" s="151">
        <v>45669</v>
      </c>
      <c r="J44" s="55" t="s">
        <v>160</v>
      </c>
      <c r="K44" s="153">
        <v>45847</v>
      </c>
      <c r="L44" s="140"/>
      <c r="M44" s="153">
        <f t="shared" si="1"/>
        <v>46157</v>
      </c>
      <c r="N44" s="155">
        <f t="shared" si="2"/>
        <v>45969</v>
      </c>
      <c r="O44" s="139"/>
      <c r="P44" s="139"/>
      <c r="Q44" t="s">
        <v>346</v>
      </c>
      <c r="R44" t="s">
        <v>325</v>
      </c>
      <c r="S44" s="206">
        <v>45948</v>
      </c>
      <c r="T44" t="s">
        <v>342</v>
      </c>
      <c r="U44">
        <v>24</v>
      </c>
      <c r="V44" s="211" t="s">
        <v>307</v>
      </c>
    </row>
    <row r="45" spans="1:22" x14ac:dyDescent="0.3">
      <c r="A45" s="189">
        <v>49</v>
      </c>
      <c r="B45" s="126" t="s">
        <v>281</v>
      </c>
      <c r="C45" s="127" t="s">
        <v>278</v>
      </c>
      <c r="D45" s="53" t="s">
        <v>288</v>
      </c>
      <c r="E45" s="53" t="s">
        <v>277</v>
      </c>
      <c r="F45" s="177">
        <v>43561</v>
      </c>
      <c r="G45" s="124" t="s">
        <v>184</v>
      </c>
      <c r="H45" s="64">
        <v>2</v>
      </c>
      <c r="I45" s="151">
        <v>45573</v>
      </c>
      <c r="J45" s="55" t="s">
        <v>157</v>
      </c>
      <c r="K45" s="153">
        <v>45847</v>
      </c>
      <c r="L45" s="140">
        <v>4.5</v>
      </c>
      <c r="M45" s="153">
        <f t="shared" si="1"/>
        <v>46022</v>
      </c>
      <c r="N45" s="155">
        <f t="shared" si="2"/>
        <v>45873</v>
      </c>
      <c r="O45" s="139"/>
      <c r="P45" s="139"/>
      <c r="Q45" s="206">
        <v>45552</v>
      </c>
      <c r="R45" t="s">
        <v>157</v>
      </c>
      <c r="S45" s="206">
        <v>45552</v>
      </c>
      <c r="T45" t="s">
        <v>330</v>
      </c>
      <c r="U45">
        <v>21</v>
      </c>
      <c r="V45" s="211" t="s">
        <v>302</v>
      </c>
    </row>
    <row r="46" spans="1:22" x14ac:dyDescent="0.3">
      <c r="A46" s="189">
        <v>50</v>
      </c>
      <c r="B46" s="126" t="s">
        <v>282</v>
      </c>
      <c r="C46" s="127" t="s">
        <v>278</v>
      </c>
      <c r="D46" s="53" t="s">
        <v>289</v>
      </c>
      <c r="E46" s="53" t="s">
        <v>277</v>
      </c>
      <c r="F46" s="177">
        <v>43562</v>
      </c>
      <c r="G46" s="124" t="s">
        <v>222</v>
      </c>
      <c r="H46" s="64">
        <v>2</v>
      </c>
      <c r="I46" s="151">
        <v>45419</v>
      </c>
      <c r="J46" s="55" t="s">
        <v>157</v>
      </c>
      <c r="K46" s="153">
        <v>45847</v>
      </c>
      <c r="L46" s="140">
        <v>8</v>
      </c>
      <c r="M46" s="153">
        <f t="shared" si="1"/>
        <v>45917</v>
      </c>
      <c r="N46" s="155">
        <f t="shared" si="2"/>
        <v>45719</v>
      </c>
      <c r="O46" s="139"/>
      <c r="P46" s="139"/>
      <c r="Q46" s="206">
        <v>45398</v>
      </c>
      <c r="R46" t="s">
        <v>157</v>
      </c>
      <c r="S46" s="206">
        <v>45398</v>
      </c>
      <c r="T46" t="s">
        <v>316</v>
      </c>
      <c r="U46">
        <v>21</v>
      </c>
      <c r="V46" s="211" t="s">
        <v>302</v>
      </c>
    </row>
    <row r="47" spans="1:22" x14ac:dyDescent="0.3">
      <c r="A47" s="51">
        <v>51</v>
      </c>
      <c r="B47" s="157">
        <v>797</v>
      </c>
      <c r="C47" s="128" t="s">
        <v>187</v>
      </c>
      <c r="D47" s="100" t="s">
        <v>290</v>
      </c>
      <c r="E47" s="53" t="s">
        <v>108</v>
      </c>
      <c r="F47" s="148">
        <v>43624</v>
      </c>
      <c r="G47" s="124" t="s">
        <v>184</v>
      </c>
      <c r="H47" s="64">
        <v>1</v>
      </c>
      <c r="I47" s="151">
        <v>45598</v>
      </c>
      <c r="J47" s="55" t="s">
        <v>160</v>
      </c>
      <c r="K47" s="153">
        <v>45847</v>
      </c>
      <c r="L47" s="140"/>
      <c r="M47" s="153">
        <f t="shared" si="1"/>
        <v>46157</v>
      </c>
      <c r="N47" s="155">
        <f t="shared" si="2"/>
        <v>45898</v>
      </c>
      <c r="O47" s="139"/>
      <c r="P47" s="139"/>
      <c r="Q47" t="s">
        <v>347</v>
      </c>
      <c r="R47" t="s">
        <v>325</v>
      </c>
      <c r="S47" s="206">
        <v>45877</v>
      </c>
      <c r="T47" t="s">
        <v>342</v>
      </c>
      <c r="U47">
        <v>24</v>
      </c>
      <c r="V47" s="211" t="s">
        <v>307</v>
      </c>
    </row>
    <row r="48" spans="1:22" x14ac:dyDescent="0.3">
      <c r="A48" s="51">
        <v>52</v>
      </c>
      <c r="B48" s="157">
        <v>783</v>
      </c>
      <c r="C48" s="128" t="s">
        <v>187</v>
      </c>
      <c r="D48" s="100" t="s">
        <v>291</v>
      </c>
      <c r="E48" s="53" t="s">
        <v>109</v>
      </c>
      <c r="F48" s="148">
        <v>43192</v>
      </c>
      <c r="G48" s="124" t="s">
        <v>184</v>
      </c>
      <c r="H48" s="64">
        <v>1</v>
      </c>
      <c r="I48" s="151">
        <v>45632</v>
      </c>
      <c r="J48" s="55" t="s">
        <v>160</v>
      </c>
      <c r="K48" s="153">
        <v>45847</v>
      </c>
      <c r="L48" s="140"/>
      <c r="M48" s="153">
        <f t="shared" si="1"/>
        <v>46157</v>
      </c>
      <c r="N48" s="155">
        <f t="shared" si="2"/>
        <v>45932</v>
      </c>
      <c r="O48" s="139"/>
      <c r="P48" s="139"/>
      <c r="Q48" t="s">
        <v>345</v>
      </c>
      <c r="R48" t="s">
        <v>325</v>
      </c>
      <c r="S48" s="206">
        <v>45911</v>
      </c>
      <c r="T48" t="s">
        <v>342</v>
      </c>
      <c r="U48">
        <v>23</v>
      </c>
      <c r="V48" s="211" t="s">
        <v>307</v>
      </c>
    </row>
    <row r="49" spans="1:22" x14ac:dyDescent="0.3">
      <c r="A49" s="189">
        <v>53</v>
      </c>
      <c r="B49" s="157">
        <v>796</v>
      </c>
      <c r="C49" s="128" t="s">
        <v>187</v>
      </c>
      <c r="D49" s="100" t="s">
        <v>92</v>
      </c>
      <c r="E49" s="53" t="s">
        <v>109</v>
      </c>
      <c r="F49" s="148">
        <v>43507</v>
      </c>
      <c r="G49" s="124" t="s">
        <v>184</v>
      </c>
      <c r="H49" s="64">
        <v>1</v>
      </c>
      <c r="I49" s="151">
        <v>45666</v>
      </c>
      <c r="J49" s="55" t="s">
        <v>276</v>
      </c>
      <c r="K49" s="153">
        <v>45847</v>
      </c>
      <c r="L49" s="140">
        <v>2.5</v>
      </c>
      <c r="M49" s="153">
        <f>(315-((L49*30)+5))+$K$2</f>
        <v>46082</v>
      </c>
      <c r="N49" s="155">
        <f t="shared" si="2"/>
        <v>45966</v>
      </c>
      <c r="O49" s="139"/>
      <c r="P49" s="139"/>
      <c r="Q49" s="206">
        <v>45580</v>
      </c>
      <c r="R49" t="s">
        <v>157</v>
      </c>
      <c r="S49" s="206">
        <v>45945</v>
      </c>
      <c r="T49" t="s">
        <v>316</v>
      </c>
      <c r="U49">
        <v>21</v>
      </c>
      <c r="V49" s="211" t="s">
        <v>307</v>
      </c>
    </row>
    <row r="50" spans="1:22" x14ac:dyDescent="0.3">
      <c r="A50" s="51">
        <v>56</v>
      </c>
      <c r="B50" s="157">
        <v>800</v>
      </c>
      <c r="C50" s="128" t="s">
        <v>187</v>
      </c>
      <c r="D50" s="100" t="s">
        <v>255</v>
      </c>
      <c r="E50" s="53" t="s">
        <v>109</v>
      </c>
      <c r="F50" s="148">
        <v>43584</v>
      </c>
      <c r="G50" s="124" t="s">
        <v>184</v>
      </c>
      <c r="H50" s="64">
        <v>1</v>
      </c>
      <c r="I50" s="151">
        <v>45708</v>
      </c>
      <c r="J50" s="55" t="s">
        <v>160</v>
      </c>
      <c r="K50" s="153">
        <v>45847</v>
      </c>
      <c r="L50" s="140"/>
      <c r="M50" s="153">
        <f t="shared" si="1"/>
        <v>46157</v>
      </c>
      <c r="N50" s="155">
        <f t="shared" si="2"/>
        <v>46008</v>
      </c>
      <c r="O50" s="139"/>
      <c r="P50" s="139"/>
      <c r="Q50" t="s">
        <v>348</v>
      </c>
      <c r="R50" t="s">
        <v>325</v>
      </c>
      <c r="S50" s="206">
        <v>45987</v>
      </c>
      <c r="T50" t="s">
        <v>342</v>
      </c>
      <c r="U50">
        <v>24</v>
      </c>
      <c r="V50" s="211" t="s">
        <v>307</v>
      </c>
    </row>
    <row r="51" spans="1:22" x14ac:dyDescent="0.3">
      <c r="A51" s="51">
        <v>57</v>
      </c>
      <c r="B51" s="157">
        <v>826</v>
      </c>
      <c r="C51" s="128" t="s">
        <v>187</v>
      </c>
      <c r="D51" s="100" t="s">
        <v>292</v>
      </c>
      <c r="E51" s="53" t="s">
        <v>109</v>
      </c>
      <c r="F51" s="148">
        <v>43821</v>
      </c>
      <c r="G51" s="124" t="s">
        <v>184</v>
      </c>
      <c r="H51" s="64">
        <v>1</v>
      </c>
      <c r="I51" s="151">
        <v>45712</v>
      </c>
      <c r="J51" s="55" t="s">
        <v>160</v>
      </c>
      <c r="K51" s="153">
        <v>45847</v>
      </c>
      <c r="L51" s="140"/>
      <c r="M51" s="153">
        <f t="shared" si="1"/>
        <v>46157</v>
      </c>
      <c r="N51" s="155">
        <f t="shared" si="2"/>
        <v>46012</v>
      </c>
      <c r="O51" s="139"/>
      <c r="P51" s="139"/>
      <c r="Q51" t="s">
        <v>349</v>
      </c>
      <c r="R51" t="s">
        <v>325</v>
      </c>
      <c r="S51" s="206">
        <v>45991</v>
      </c>
      <c r="T51" t="s">
        <v>342</v>
      </c>
      <c r="U51">
        <v>24</v>
      </c>
      <c r="V51" s="211" t="s">
        <v>307</v>
      </c>
    </row>
    <row r="52" spans="1:22" x14ac:dyDescent="0.3">
      <c r="A52" s="51">
        <v>58</v>
      </c>
      <c r="B52" s="157">
        <v>801</v>
      </c>
      <c r="C52" s="128" t="s">
        <v>187</v>
      </c>
      <c r="D52" s="100" t="s">
        <v>257</v>
      </c>
      <c r="E52" s="53" t="s">
        <v>109</v>
      </c>
      <c r="F52" s="148">
        <v>43569</v>
      </c>
      <c r="G52" s="124" t="s">
        <v>184</v>
      </c>
      <c r="H52" s="64">
        <v>1</v>
      </c>
      <c r="I52" s="151">
        <v>45788</v>
      </c>
      <c r="J52" s="55" t="s">
        <v>160</v>
      </c>
      <c r="K52" s="153">
        <v>45847</v>
      </c>
      <c r="L52" s="140"/>
      <c r="M52" s="153">
        <f t="shared" si="1"/>
        <v>46157</v>
      </c>
      <c r="N52" s="155">
        <f t="shared" si="2"/>
        <v>46088</v>
      </c>
      <c r="O52" s="139"/>
      <c r="P52" s="139"/>
      <c r="Q52" t="s">
        <v>350</v>
      </c>
      <c r="R52" t="s">
        <v>325</v>
      </c>
      <c r="S52" s="206">
        <v>46067</v>
      </c>
      <c r="T52" t="s">
        <v>342</v>
      </c>
      <c r="U52">
        <v>24</v>
      </c>
      <c r="V52" s="211" t="s">
        <v>307</v>
      </c>
    </row>
    <row r="53" spans="1:22" x14ac:dyDescent="0.3">
      <c r="C53" s="123"/>
      <c r="D53" s="6"/>
      <c r="E53" s="6"/>
      <c r="F53" s="4"/>
      <c r="G53" s="123"/>
      <c r="H53" s="6"/>
      <c r="I53" s="4"/>
    </row>
    <row r="54" spans="1:22" x14ac:dyDescent="0.3">
      <c r="F54" s="4"/>
    </row>
    <row r="55" spans="1:22" x14ac:dyDescent="0.3">
      <c r="F55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Milk Yield 19-20, 20-21</vt:lpstr>
      <vt:lpstr>Milk Yield 20-21, 21-22</vt:lpstr>
      <vt:lpstr>Herd</vt:lpstr>
      <vt:lpstr>Herd (2)</vt:lpstr>
      <vt:lpstr>Herd 16.05.2020</vt:lpstr>
      <vt:lpstr>Herd 30.09.2020</vt:lpstr>
      <vt:lpstr>Herd 05.12.2020</vt:lpstr>
      <vt:lpstr>Herd 01.04.2022</vt:lpstr>
      <vt:lpstr>Herd 24.08.2023</vt:lpstr>
      <vt:lpstr>Herd 01.03.2024</vt:lpstr>
      <vt:lpstr>Herd 15.06.2024</vt:lpstr>
      <vt:lpstr>Herd 30.01.2025</vt:lpstr>
      <vt:lpstr>Herd 01.05.2025</vt:lpstr>
      <vt:lpstr>Herd 09.07.2025</vt:lpstr>
      <vt:lpstr>'Milk Yield 20-21, 21-22'!Print_Area</vt:lpstr>
      <vt:lpstr>'Herd 09.07.2025'!S__NO.</vt:lpstr>
      <vt:lpstr>S__NO.</vt:lpstr>
      <vt:lpstr>'Herd 09.07.2025'!Sheet1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Amila;Amila Achalanka</dc:creator>
  <cp:lastModifiedBy>WADUGE S U it22001184</cp:lastModifiedBy>
  <cp:lastPrinted>2020-12-21T11:46:37Z</cp:lastPrinted>
  <dcterms:created xsi:type="dcterms:W3CDTF">2019-12-04T12:14:39Z</dcterms:created>
  <dcterms:modified xsi:type="dcterms:W3CDTF">2026-02-20T18:45:05Z</dcterms:modified>
</cp:coreProperties>
</file>