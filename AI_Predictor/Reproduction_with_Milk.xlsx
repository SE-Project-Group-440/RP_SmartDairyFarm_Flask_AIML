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Research-Chatbot\AI_Predictor\"/>
    </mc:Choice>
  </mc:AlternateContent>
  <xr:revisionPtr revIDLastSave="0" documentId="13_ncr:1_{39B29C78-9096-4413-800F-C0B78B66FA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124" i="1" l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13" i="1"/>
  <c r="L114" i="1"/>
  <c r="L115" i="1"/>
  <c r="L116" i="1"/>
  <c r="L117" i="1"/>
  <c r="L118" i="1"/>
  <c r="L119" i="1"/>
  <c r="L120" i="1"/>
  <c r="L121" i="1"/>
  <c r="L122" i="1"/>
  <c r="L123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60" i="1"/>
  <c r="L61" i="1"/>
  <c r="L62" i="1"/>
  <c r="L56" i="1"/>
  <c r="L57" i="1"/>
  <c r="L58" i="1"/>
  <c r="L59" i="1"/>
  <c r="L44" i="1"/>
  <c r="L45" i="1"/>
  <c r="L46" i="1"/>
  <c r="L47" i="1"/>
  <c r="L48" i="1"/>
  <c r="L49" i="1"/>
  <c r="L50" i="1"/>
  <c r="L51" i="1"/>
  <c r="L52" i="1"/>
  <c r="L53" i="1"/>
  <c r="L54" i="1"/>
  <c r="L55" i="1"/>
  <c r="L34" i="1"/>
  <c r="L35" i="1"/>
  <c r="L36" i="1"/>
  <c r="L37" i="1"/>
  <c r="L38" i="1"/>
  <c r="L39" i="1"/>
  <c r="L40" i="1"/>
  <c r="L41" i="1"/>
  <c r="L42" i="1"/>
  <c r="L43" i="1"/>
  <c r="L22" i="1"/>
  <c r="L23" i="1"/>
  <c r="L24" i="1"/>
  <c r="L25" i="1"/>
  <c r="L26" i="1"/>
  <c r="L27" i="1"/>
  <c r="L28" i="1"/>
  <c r="L29" i="1"/>
  <c r="L30" i="1"/>
  <c r="L31" i="1"/>
  <c r="L32" i="1"/>
  <c r="L33" i="1"/>
  <c r="L11" i="1"/>
  <c r="L12" i="1"/>
  <c r="L13" i="1"/>
  <c r="L14" i="1"/>
  <c r="L15" i="1"/>
  <c r="L16" i="1"/>
  <c r="L17" i="1"/>
  <c r="L18" i="1"/>
  <c r="L19" i="1"/>
  <c r="L20" i="1"/>
  <c r="L21" i="1"/>
  <c r="L3" i="1"/>
  <c r="L4" i="1"/>
  <c r="L5" i="1"/>
  <c r="L6" i="1"/>
  <c r="L7" i="1"/>
  <c r="L8" i="1"/>
  <c r="L9" i="1"/>
  <c r="L10" i="1"/>
  <c r="L2" i="1"/>
</calcChain>
</file>

<file path=xl/sharedStrings.xml><?xml version="1.0" encoding="utf-8"?>
<sst xmlns="http://schemas.openxmlformats.org/spreadsheetml/2006/main" count="1411" uniqueCount="282">
  <si>
    <t>S/ NO.</t>
  </si>
  <si>
    <t>Tag No.</t>
  </si>
  <si>
    <t>Location</t>
  </si>
  <si>
    <t>Name</t>
  </si>
  <si>
    <t>Breed</t>
  </si>
  <si>
    <t xml:space="preserve">Date of Birth </t>
  </si>
  <si>
    <t>Milking/Dry</t>
  </si>
  <si>
    <t>Lactation No</t>
  </si>
  <si>
    <t>Last Caving Date</t>
  </si>
  <si>
    <t>P/NP</t>
  </si>
  <si>
    <t>PD Date</t>
  </si>
  <si>
    <t>E. Age (Month)</t>
  </si>
  <si>
    <t>Caving Date</t>
  </si>
  <si>
    <t>Dry</t>
  </si>
  <si>
    <t>Dry.1</t>
  </si>
  <si>
    <t>Previous AI Dates</t>
  </si>
  <si>
    <t>Previous AI Outcomes</t>
  </si>
  <si>
    <t>Last Estrus/Heat Date</t>
  </si>
  <si>
    <t>Estrus Signs</t>
  </si>
  <si>
    <t>Estrus Cycle Length</t>
  </si>
  <si>
    <t>Hormonal Treatment</t>
  </si>
  <si>
    <t>Milk_Yield</t>
  </si>
  <si>
    <t>20005</t>
  </si>
  <si>
    <t>DS</t>
  </si>
  <si>
    <t>Walli</t>
  </si>
  <si>
    <t>NX</t>
  </si>
  <si>
    <t>M</t>
  </si>
  <si>
    <t>NP</t>
  </si>
  <si>
    <t>2025-01-10, 2025-03-15</t>
  </si>
  <si>
    <t>NP,P</t>
  </si>
  <si>
    <t>Mounting</t>
  </si>
  <si>
    <t>No</t>
  </si>
  <si>
    <t>20004</t>
  </si>
  <si>
    <t>Panchali</t>
  </si>
  <si>
    <t>D</t>
  </si>
  <si>
    <t>P</t>
  </si>
  <si>
    <t>2024-05-10, 2024-06-05</t>
  </si>
  <si>
    <t>P,P</t>
  </si>
  <si>
    <t>Standing Heat</t>
  </si>
  <si>
    <t>12063</t>
  </si>
  <si>
    <t>H</t>
  </si>
  <si>
    <t>Bula</t>
  </si>
  <si>
    <t>MX</t>
  </si>
  <si>
    <t>2025-02-10, 2025-04-05, 2025-06-01</t>
  </si>
  <si>
    <t>NP, P, NP</t>
  </si>
  <si>
    <t>Yes</t>
  </si>
  <si>
    <t>40019</t>
  </si>
  <si>
    <t>Wuli</t>
  </si>
  <si>
    <t>2024-03-10, 2024-05-12, 2024-07-15</t>
  </si>
  <si>
    <t>P, P, P</t>
  </si>
  <si>
    <t>Sujatha</t>
  </si>
  <si>
    <t>2024-08-05, 2024-10-01</t>
  </si>
  <si>
    <t>P, NP</t>
  </si>
  <si>
    <t>40022</t>
  </si>
  <si>
    <t>Pinky</t>
  </si>
  <si>
    <t>2025-03-05, 2025-05-10, 2025-07-01</t>
  </si>
  <si>
    <t>NP, NP, P</t>
  </si>
  <si>
    <t>1913</t>
  </si>
  <si>
    <t>Nilu</t>
  </si>
  <si>
    <t>2023-04-15, 2023-07-10, 2023-10-05</t>
  </si>
  <si>
    <t>1926</t>
  </si>
  <si>
    <t>Boli</t>
  </si>
  <si>
    <t>p</t>
  </si>
  <si>
    <t>2023-05-02, 2023-08-01, 2023-11-03</t>
  </si>
  <si>
    <t>0280</t>
  </si>
  <si>
    <t>Muthu</t>
  </si>
  <si>
    <t>2023-06-14, 2023-09-09, 2023-12-03</t>
  </si>
  <si>
    <t>1986</t>
  </si>
  <si>
    <t>Mini</t>
  </si>
  <si>
    <t>2023-01-12, 2023-04-05, 2023-07-01</t>
  </si>
  <si>
    <t>NP, NP, NP</t>
  </si>
  <si>
    <t>20001</t>
  </si>
  <si>
    <t>Anketa</t>
  </si>
  <si>
    <t>2023-02-18, 2023-05-20</t>
  </si>
  <si>
    <t>NP, NP</t>
  </si>
  <si>
    <t>Weak estrus</t>
  </si>
  <si>
    <t>Irregular</t>
  </si>
  <si>
    <t>20002</t>
  </si>
  <si>
    <t>Ishani</t>
  </si>
  <si>
    <t>2024-01-08, 2024-04-03, 2024-07-29</t>
  </si>
  <si>
    <t>1907</t>
  </si>
  <si>
    <t>Niki</t>
  </si>
  <si>
    <t>2023-03-10, 2023-06-08</t>
  </si>
  <si>
    <t>NP,NP</t>
  </si>
  <si>
    <t>1810</t>
  </si>
  <si>
    <t>Hadee</t>
  </si>
  <si>
    <t>2023-03-18, 2023-06-12</t>
  </si>
  <si>
    <t>NP, P</t>
  </si>
  <si>
    <t>J1723</t>
  </si>
  <si>
    <t>Doni</t>
  </si>
  <si>
    <t>2024-06-10, 2024-09-05</t>
  </si>
  <si>
    <t>1883</t>
  </si>
  <si>
    <t>CIC 2</t>
  </si>
  <si>
    <t>2023-09-20, 2023-12-18</t>
  </si>
  <si>
    <t>Standing heat</t>
  </si>
  <si>
    <t>14003</t>
  </si>
  <si>
    <t>CIC 1</t>
  </si>
  <si>
    <t>0380</t>
  </si>
  <si>
    <t>Praveena</t>
  </si>
  <si>
    <t>2024-02-15, 2024-05-20</t>
  </si>
  <si>
    <t>J1774</t>
  </si>
  <si>
    <t>Champa</t>
  </si>
  <si>
    <t>20003</t>
  </si>
  <si>
    <t>Dummalasooriya</t>
  </si>
  <si>
    <t>2023-02-11, 2023-05-09, 2023-08-04</t>
  </si>
  <si>
    <t>0158</t>
  </si>
  <si>
    <t>Sadumini</t>
  </si>
  <si>
    <t>2023-03-15, 2023-06-18, 2023-09-12</t>
  </si>
  <si>
    <t>J1805</t>
  </si>
  <si>
    <t>Rashmi</t>
  </si>
  <si>
    <t>551</t>
  </si>
  <si>
    <t>Sigithi</t>
  </si>
  <si>
    <t>2023-08-14, 2023-11-10, 2024-02-05</t>
  </si>
  <si>
    <t>J1713</t>
  </si>
  <si>
    <t>Double</t>
  </si>
  <si>
    <t>12003</t>
  </si>
  <si>
    <t>Sanduni</t>
  </si>
  <si>
    <t>J1736</t>
  </si>
  <si>
    <t>Ramba</t>
  </si>
  <si>
    <t>171212</t>
  </si>
  <si>
    <t>F1814</t>
  </si>
  <si>
    <t>Sneha</t>
  </si>
  <si>
    <t xml:space="preserve">F1815 </t>
  </si>
  <si>
    <t>Akka</t>
  </si>
  <si>
    <t>14012</t>
  </si>
  <si>
    <t>Cheena</t>
  </si>
  <si>
    <t>2024-03-05, 2024-06-01</t>
  </si>
  <si>
    <t>12064</t>
  </si>
  <si>
    <t>Rohini</t>
  </si>
  <si>
    <t>0779</t>
  </si>
  <si>
    <t>Kaanthika</t>
  </si>
  <si>
    <t>12062</t>
  </si>
  <si>
    <t>Tharushi</t>
  </si>
  <si>
    <t>2024-02-20, 2024-05-18</t>
  </si>
  <si>
    <t>J1712</t>
  </si>
  <si>
    <t>Lokki</t>
  </si>
  <si>
    <t>Pullachchi</t>
  </si>
  <si>
    <t>31</t>
  </si>
  <si>
    <t>Silent heat</t>
  </si>
  <si>
    <t xml:space="preserve">F1816 </t>
  </si>
  <si>
    <t>Sandaya</t>
  </si>
  <si>
    <t>2024-04-18, 2024-08-22</t>
  </si>
  <si>
    <t>780</t>
  </si>
  <si>
    <t>Sheromi</t>
  </si>
  <si>
    <t>94</t>
  </si>
  <si>
    <t>K</t>
  </si>
  <si>
    <t>Nila</t>
  </si>
  <si>
    <t>2024-05-05, 2024-08-02</t>
  </si>
  <si>
    <t>Lena</t>
  </si>
  <si>
    <t>600002</t>
  </si>
  <si>
    <t>KD</t>
  </si>
  <si>
    <t>Nona</t>
  </si>
  <si>
    <t>MXN</t>
  </si>
  <si>
    <t>2024-06-12, 2024-09-09</t>
  </si>
  <si>
    <t>600004</t>
  </si>
  <si>
    <t>Roci</t>
  </si>
  <si>
    <t>600005</t>
  </si>
  <si>
    <t>Netta Kota</t>
  </si>
  <si>
    <t>Chapa</t>
  </si>
  <si>
    <t>2024-05-09, 2024-08-06</t>
  </si>
  <si>
    <t>Anusa</t>
  </si>
  <si>
    <t>Rani</t>
  </si>
  <si>
    <t>2024-09-15, 2025-02-17</t>
  </si>
  <si>
    <t>2024-04-14, 2024-07-12</t>
  </si>
  <si>
    <t>2024-06-18, 2024-09-15</t>
  </si>
  <si>
    <t>2023-03-12, 2023-06-08</t>
  </si>
  <si>
    <t>2023-08-18, 2023-11-14</t>
  </si>
  <si>
    <t>2024-04-15, 2024-07-12</t>
  </si>
  <si>
    <t>2024-08-05, 2024-11-02</t>
  </si>
  <si>
    <t>2024-04-12, 2024-07-09</t>
  </si>
  <si>
    <t>2024-05-05, 2024-08-01</t>
  </si>
  <si>
    <t>2024-05-18, 2024-08-14</t>
  </si>
  <si>
    <t>2023-10-30, 2024-01-25</t>
  </si>
  <si>
    <t>Swwandi</t>
  </si>
  <si>
    <t>2025-01-18, 2025-02-08</t>
  </si>
  <si>
    <t>40012</t>
  </si>
  <si>
    <t>Dedunu</t>
  </si>
  <si>
    <t>2024-09-30, 2024-10-22, 2024-11-15</t>
  </si>
  <si>
    <t>1909</t>
  </si>
  <si>
    <t>Mitti</t>
  </si>
  <si>
    <t>2024-12-20, 2025-01-10</t>
  </si>
  <si>
    <t>12039</t>
  </si>
  <si>
    <t>Rupa</t>
  </si>
  <si>
    <t>2023-03-28, 2023-04-28</t>
  </si>
  <si>
    <t>2025-01-05, 2025-01-26, 2025-02-16</t>
  </si>
  <si>
    <t>2024-12-18, 2025-01-08</t>
  </si>
  <si>
    <t>2024-12-16, 2025-01-06, 2025-01-27</t>
  </si>
  <si>
    <t>2024-03-05, 2024-03-26, 2024-04-16</t>
  </si>
  <si>
    <t>2024-11-28, 2024-12-28, 2025-01-18</t>
  </si>
  <si>
    <t>2024-12-10, 2024-12-31</t>
  </si>
  <si>
    <t>2024-12-05, 2024-12-26</t>
  </si>
  <si>
    <t>2024-07-10, 2024-08-01, 2024-08-22</t>
  </si>
  <si>
    <t>2024-11-10, 2024-12-01</t>
  </si>
  <si>
    <t>2025-01-01, 2025-01-22, 2025-02-12</t>
  </si>
  <si>
    <t>2024-07-28, 2024-08-18, 2024-09-08</t>
  </si>
  <si>
    <t>2025-04-05, 2025-04-26</t>
  </si>
  <si>
    <t>2024-12-28, 2025-01-18, 2025-02-08</t>
  </si>
  <si>
    <t>2025-01-20, 2025-02-10</t>
  </si>
  <si>
    <t>2025-02-20, 2025-03-13</t>
  </si>
  <si>
    <t>2025-01-22, 2025-02-12</t>
  </si>
  <si>
    <t>2024-08-05, 2024-09-02, 2024-10-01</t>
  </si>
  <si>
    <t>2025-01-15, 2025-02-05</t>
  </si>
  <si>
    <t>2024-11-20, 2024-12-11</t>
  </si>
  <si>
    <t>2024-12-05, 2024-12-26, 2025-01-16</t>
  </si>
  <si>
    <t>2025-01-10, 2025-01-31</t>
  </si>
  <si>
    <t>2025-01-12, 2025-02-02</t>
  </si>
  <si>
    <t>2023-12-28, 2024-01-18, 2024-02-08</t>
  </si>
  <si>
    <t>2025-01-19, 2025-02-09</t>
  </si>
  <si>
    <t>Nounting</t>
  </si>
  <si>
    <t>2025-01-21, 2025-02-11</t>
  </si>
  <si>
    <t>2025-01-14, 2025-02-04</t>
  </si>
  <si>
    <t>2024-12-15, 2025-01-05</t>
  </si>
  <si>
    <t>2025-02-05, 2025-02-26</t>
  </si>
  <si>
    <t>2025-02-10, 2025-03-03</t>
  </si>
  <si>
    <t>24</t>
  </si>
  <si>
    <t>2020-11-10, 2020-12-05, 2021-02-10</t>
  </si>
  <si>
    <t>2022-10-13, 2022-11-13, 2021-12-17</t>
  </si>
  <si>
    <t>2022-10-11, 2022-11-11, 2022-02-14</t>
  </si>
  <si>
    <t>60018</t>
  </si>
  <si>
    <t>Susanthika</t>
  </si>
  <si>
    <t>2022-01-15, 2022-02-15, 2022-05-15</t>
  </si>
  <si>
    <t>40033</t>
  </si>
  <si>
    <t>Sandamali</t>
  </si>
  <si>
    <t>2023-02-10, 2023-03-05, 2022-06-10</t>
  </si>
  <si>
    <t>2022-05-28, 2022-06-28, 2022-07-28</t>
  </si>
  <si>
    <t>2022-05-09, 2022-06-09, 2022-07-30</t>
  </si>
  <si>
    <t>2022-06-06, 2022-07-06, 2022-08-06</t>
  </si>
  <si>
    <t>2022-06-08, 2022-07-08, 2022-08-08</t>
  </si>
  <si>
    <t>2022-08-12, 2022-09-12, 2022-10-12</t>
  </si>
  <si>
    <t>2022-09-02, 2022-10-02, 2022-11-02</t>
  </si>
  <si>
    <t>0405</t>
  </si>
  <si>
    <t>Chootymanike</t>
  </si>
  <si>
    <t>2022-09-13, 2022-10-13, 2022-11-13</t>
  </si>
  <si>
    <t>0048</t>
  </si>
  <si>
    <t>Senuri</t>
  </si>
  <si>
    <t>2022-09-15, 2022-10-15, 2022-11-19</t>
  </si>
  <si>
    <t>2022-09-20, 2022-10-20, 2022-11-24</t>
  </si>
  <si>
    <t>2022-09-22, 2022-10-22, 2022-11-26</t>
  </si>
  <si>
    <t>2022-10-02, 2022-11-02</t>
  </si>
  <si>
    <t>2022-10-06, 2022-11-06, 2022-12-10</t>
  </si>
  <si>
    <t>0383</t>
  </si>
  <si>
    <t>Wasana</t>
  </si>
  <si>
    <t>2022-10-10, 2022-11-10, 2022-12-14</t>
  </si>
  <si>
    <t>2022-10-16, 2022-11-16, 2022-12-20</t>
  </si>
  <si>
    <t>2022-08-28, 2022-09-28, 2023-01-01</t>
  </si>
  <si>
    <t>0357</t>
  </si>
  <si>
    <t>Shila</t>
  </si>
  <si>
    <t>2022-11-10, 2022-12-10</t>
  </si>
  <si>
    <t>2022-11-14, 2022-12-14, 2023-01-18</t>
  </si>
  <si>
    <t>2022-10-23, 2022-11-23, 2023-01-27</t>
  </si>
  <si>
    <t>2022-11-20, 2022-12-20</t>
  </si>
  <si>
    <t>2022-11-23, 2022-12-23</t>
  </si>
  <si>
    <t>2022-11-12, 2022-12-12, 2023-03-05</t>
  </si>
  <si>
    <t>2023-01-15, 2023-02-15, 2023-03-15</t>
  </si>
  <si>
    <t>2023-01-24, 2023-02-24, 2023-03-24</t>
  </si>
  <si>
    <t>2023-01-27, 2023-02-27, 2023-03-27</t>
  </si>
  <si>
    <t>2023-01-28, 2023-02-28, 2023-03-28</t>
  </si>
  <si>
    <t>2023-02-07, 2023-03-07, 2023-04-07</t>
  </si>
  <si>
    <t>2023-02-18, 2023-03-18, 2023-04-18</t>
  </si>
  <si>
    <t>2023-03-06, 2023-04-06, 2023-05-06</t>
  </si>
  <si>
    <t>2023-03-15, 2023-04-15, 2023-05-20</t>
  </si>
  <si>
    <t>2023-03-18, 2023-04-18, 2023-05-23</t>
  </si>
  <si>
    <t>2023-03-19, 2023-04-19, 2023-05-24</t>
  </si>
  <si>
    <t>2023-03-25, 2023-04-25, 2023-05-30</t>
  </si>
  <si>
    <t>J2723</t>
  </si>
  <si>
    <t>J3723</t>
  </si>
  <si>
    <t>J0723</t>
  </si>
  <si>
    <t>J2805</t>
  </si>
  <si>
    <t>J3805</t>
  </si>
  <si>
    <t>J4805</t>
  </si>
  <si>
    <t>F2814</t>
  </si>
  <si>
    <t>F3814</t>
  </si>
  <si>
    <t>F4814</t>
  </si>
  <si>
    <t xml:space="preserve">F2815 </t>
  </si>
  <si>
    <t xml:space="preserve">F3815 </t>
  </si>
  <si>
    <t xml:space="preserve">F4815 </t>
  </si>
  <si>
    <t>J2712</t>
  </si>
  <si>
    <t>J3712</t>
  </si>
  <si>
    <t>J4712</t>
  </si>
  <si>
    <t xml:space="preserve">F2816 </t>
  </si>
  <si>
    <t xml:space="preserve">F3816 </t>
  </si>
  <si>
    <t xml:space="preserve">F4816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</si>
</sst>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"/>
  <sheetViews>
    <sheetView tabSelected="1" topLeftCell="B42" workbookViewId="0">
      <selection activeCell="F57" sqref="F57"/>
    </sheetView>
  </sheetViews>
  <sheetFormatPr defaultRowHeight="14.4" x14ac:dyDescent="0.3"/>
  <cols>
    <col min="6" max="6" width="10.5546875" style="3" bestFit="1" customWidth="1"/>
    <col min="9" max="9" width="10.5546875" style="3" bestFit="1" customWidth="1"/>
    <col min="11" max="11" width="9.5546875" style="3" bestFit="1" customWidth="1"/>
    <col min="13" max="16" width="10.5546875" style="3" bestFit="1" customWidth="1"/>
    <col min="18" max="18" width="10.5546875" style="3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s="3">
        <v>43177</v>
      </c>
      <c r="G2" t="s">
        <v>26</v>
      </c>
      <c r="H2">
        <v>3</v>
      </c>
      <c r="I2" s="3">
        <v>45626</v>
      </c>
      <c r="J2" t="s">
        <v>27</v>
      </c>
      <c r="K2" s="3">
        <v>45847</v>
      </c>
      <c r="L2">
        <f ca="1">DATEDIF(F2, TODAY(), "Y")</f>
        <v>7</v>
      </c>
      <c r="M2" s="3">
        <v>46157</v>
      </c>
      <c r="N2" s="3">
        <v>45926</v>
      </c>
      <c r="O2" s="3">
        <v>46437</v>
      </c>
      <c r="P2" s="3" t="s">
        <v>28</v>
      </c>
      <c r="Q2" t="s">
        <v>29</v>
      </c>
      <c r="R2" s="3">
        <v>45839</v>
      </c>
      <c r="S2" t="s">
        <v>30</v>
      </c>
      <c r="T2">
        <v>21</v>
      </c>
      <c r="U2" t="s">
        <v>31</v>
      </c>
      <c r="V2">
        <v>7</v>
      </c>
    </row>
    <row r="3" spans="1:22" x14ac:dyDescent="0.3">
      <c r="A3">
        <v>2</v>
      </c>
      <c r="B3" t="s">
        <v>32</v>
      </c>
      <c r="C3" t="s">
        <v>23</v>
      </c>
      <c r="D3" t="s">
        <v>33</v>
      </c>
      <c r="E3" t="s">
        <v>25</v>
      </c>
      <c r="F3" s="3">
        <v>43170</v>
      </c>
      <c r="G3" t="s">
        <v>34</v>
      </c>
      <c r="H3">
        <v>2</v>
      </c>
      <c r="I3" s="3">
        <v>45352</v>
      </c>
      <c r="J3" t="s">
        <v>35</v>
      </c>
      <c r="K3" s="3">
        <v>45847</v>
      </c>
      <c r="L3">
        <f t="shared" ref="L3:L54" ca="1" si="0">DATEDIF(F3, TODAY(), "Y")</f>
        <v>7</v>
      </c>
      <c r="M3" s="3">
        <v>45917</v>
      </c>
      <c r="N3" s="3">
        <v>45652</v>
      </c>
      <c r="O3" s="3">
        <v>46438</v>
      </c>
      <c r="P3" s="3" t="s">
        <v>36</v>
      </c>
      <c r="Q3" t="s">
        <v>37</v>
      </c>
      <c r="R3" s="3">
        <v>45828</v>
      </c>
      <c r="S3" t="s">
        <v>38</v>
      </c>
      <c r="T3">
        <v>21</v>
      </c>
      <c r="U3" t="s">
        <v>31</v>
      </c>
      <c r="V3">
        <v>195</v>
      </c>
    </row>
    <row r="4" spans="1:22" x14ac:dyDescent="0.3">
      <c r="A4">
        <v>3</v>
      </c>
      <c r="B4" t="s">
        <v>39</v>
      </c>
      <c r="C4" t="s">
        <v>40</v>
      </c>
      <c r="D4" t="s">
        <v>41</v>
      </c>
      <c r="E4" t="s">
        <v>42</v>
      </c>
      <c r="F4" s="3">
        <v>41247</v>
      </c>
      <c r="G4" t="s">
        <v>34</v>
      </c>
      <c r="H4">
        <v>5</v>
      </c>
      <c r="I4" s="3">
        <v>45626</v>
      </c>
      <c r="J4" t="s">
        <v>27</v>
      </c>
      <c r="K4" s="3">
        <v>45847</v>
      </c>
      <c r="L4">
        <f t="shared" ca="1" si="0"/>
        <v>13</v>
      </c>
      <c r="M4" s="3">
        <v>46157</v>
      </c>
      <c r="N4" s="3">
        <v>45926</v>
      </c>
      <c r="O4" s="3">
        <v>46437</v>
      </c>
      <c r="P4" s="3" t="s">
        <v>43</v>
      </c>
      <c r="Q4" t="s">
        <v>44</v>
      </c>
      <c r="R4" s="3">
        <v>45853</v>
      </c>
      <c r="S4" t="s">
        <v>30</v>
      </c>
      <c r="T4">
        <v>21</v>
      </c>
      <c r="U4" t="s">
        <v>45</v>
      </c>
      <c r="V4">
        <v>0</v>
      </c>
    </row>
    <row r="5" spans="1:22" x14ac:dyDescent="0.3">
      <c r="A5">
        <v>4</v>
      </c>
      <c r="B5" t="s">
        <v>46</v>
      </c>
      <c r="C5" t="s">
        <v>40</v>
      </c>
      <c r="D5" t="s">
        <v>47</v>
      </c>
      <c r="E5" t="s">
        <v>42</v>
      </c>
      <c r="F5" s="3">
        <v>41496</v>
      </c>
      <c r="G5" t="s">
        <v>34</v>
      </c>
      <c r="H5">
        <v>6</v>
      </c>
      <c r="I5" s="3">
        <v>45261</v>
      </c>
      <c r="J5" t="s">
        <v>35</v>
      </c>
      <c r="K5" s="3">
        <v>45847</v>
      </c>
      <c r="L5">
        <f t="shared" ca="1" si="0"/>
        <v>12</v>
      </c>
      <c r="M5" s="3">
        <v>46022</v>
      </c>
      <c r="N5" s="3">
        <v>45561</v>
      </c>
      <c r="O5" s="3">
        <v>46302</v>
      </c>
      <c r="P5" s="3" t="s">
        <v>48</v>
      </c>
      <c r="Q5" t="s">
        <v>49</v>
      </c>
      <c r="R5" s="3">
        <v>45813</v>
      </c>
      <c r="S5" t="s">
        <v>38</v>
      </c>
      <c r="T5">
        <v>21</v>
      </c>
      <c r="U5" t="s">
        <v>31</v>
      </c>
      <c r="V5">
        <v>3.5</v>
      </c>
    </row>
    <row r="6" spans="1:22" x14ac:dyDescent="0.3">
      <c r="A6">
        <v>5</v>
      </c>
      <c r="B6">
        <v>170309</v>
      </c>
      <c r="C6" t="s">
        <v>26</v>
      </c>
      <c r="D6" t="s">
        <v>50</v>
      </c>
      <c r="E6" t="s">
        <v>42</v>
      </c>
      <c r="F6" s="3">
        <v>42800</v>
      </c>
      <c r="G6" t="s">
        <v>34</v>
      </c>
      <c r="H6">
        <v>2</v>
      </c>
      <c r="I6" s="3">
        <v>45413</v>
      </c>
      <c r="J6" t="s">
        <v>35</v>
      </c>
      <c r="K6" s="3">
        <v>45847</v>
      </c>
      <c r="L6">
        <f t="shared" ca="1" si="0"/>
        <v>8</v>
      </c>
      <c r="M6" s="3">
        <v>45977</v>
      </c>
      <c r="N6" s="3">
        <v>45713</v>
      </c>
      <c r="O6" s="3">
        <v>46257</v>
      </c>
      <c r="P6" s="3" t="s">
        <v>51</v>
      </c>
      <c r="Q6" t="s">
        <v>52</v>
      </c>
      <c r="R6" s="3">
        <v>45826</v>
      </c>
      <c r="S6" t="s">
        <v>30</v>
      </c>
      <c r="T6">
        <v>21</v>
      </c>
      <c r="U6" t="s">
        <v>31</v>
      </c>
      <c r="V6">
        <v>105</v>
      </c>
    </row>
    <row r="7" spans="1:22" x14ac:dyDescent="0.3">
      <c r="A7">
        <v>6</v>
      </c>
      <c r="B7" t="s">
        <v>53</v>
      </c>
      <c r="C7" t="s">
        <v>40</v>
      </c>
      <c r="D7" t="s">
        <v>54</v>
      </c>
      <c r="E7" t="s">
        <v>42</v>
      </c>
      <c r="F7" s="3">
        <v>41526</v>
      </c>
      <c r="G7" t="s">
        <v>26</v>
      </c>
      <c r="H7">
        <v>6</v>
      </c>
      <c r="I7" s="3">
        <v>45681</v>
      </c>
      <c r="J7" t="s">
        <v>27</v>
      </c>
      <c r="K7" s="3">
        <v>45847</v>
      </c>
      <c r="L7">
        <f t="shared" ca="1" si="0"/>
        <v>12</v>
      </c>
      <c r="M7" s="3">
        <v>46157</v>
      </c>
      <c r="N7" s="3">
        <v>45981</v>
      </c>
      <c r="O7" s="3">
        <v>46437</v>
      </c>
      <c r="P7" s="3" t="s">
        <v>55</v>
      </c>
      <c r="Q7" t="s">
        <v>56</v>
      </c>
      <c r="R7" s="3">
        <v>45889</v>
      </c>
      <c r="S7" t="s">
        <v>38</v>
      </c>
      <c r="T7">
        <v>21</v>
      </c>
      <c r="U7" t="s">
        <v>45</v>
      </c>
      <c r="V7">
        <v>5.806451612903226</v>
      </c>
    </row>
    <row r="8" spans="1:22" x14ac:dyDescent="0.3">
      <c r="A8">
        <v>7</v>
      </c>
      <c r="B8" t="s">
        <v>57</v>
      </c>
      <c r="C8" t="s">
        <v>40</v>
      </c>
      <c r="D8" t="s">
        <v>58</v>
      </c>
      <c r="E8" t="s">
        <v>42</v>
      </c>
      <c r="F8" s="3">
        <v>41436</v>
      </c>
      <c r="G8" t="s">
        <v>34</v>
      </c>
      <c r="H8">
        <v>4</v>
      </c>
      <c r="I8" s="3">
        <v>45323</v>
      </c>
      <c r="J8" t="s">
        <v>35</v>
      </c>
      <c r="K8" s="3">
        <v>45847</v>
      </c>
      <c r="L8">
        <f t="shared" ca="1" si="0"/>
        <v>12</v>
      </c>
      <c r="M8" s="3">
        <v>46007</v>
      </c>
      <c r="N8" s="3">
        <v>45623</v>
      </c>
      <c r="O8" s="3">
        <v>46287</v>
      </c>
      <c r="P8" s="3" t="s">
        <v>59</v>
      </c>
      <c r="Q8" t="s">
        <v>56</v>
      </c>
      <c r="R8" s="3">
        <v>45602</v>
      </c>
      <c r="S8" t="s">
        <v>38</v>
      </c>
      <c r="T8">
        <v>21</v>
      </c>
      <c r="U8" t="s">
        <v>31</v>
      </c>
      <c r="V8">
        <v>0</v>
      </c>
    </row>
    <row r="9" spans="1:22" x14ac:dyDescent="0.3">
      <c r="A9">
        <v>8</v>
      </c>
      <c r="B9" t="s">
        <v>60</v>
      </c>
      <c r="C9" t="s">
        <v>40</v>
      </c>
      <c r="D9" t="s">
        <v>61</v>
      </c>
      <c r="E9" t="s">
        <v>42</v>
      </c>
      <c r="F9" s="3">
        <v>41477</v>
      </c>
      <c r="G9" t="s">
        <v>34</v>
      </c>
      <c r="H9">
        <v>5</v>
      </c>
      <c r="I9" s="3">
        <v>45335</v>
      </c>
      <c r="J9" t="s">
        <v>62</v>
      </c>
      <c r="K9" s="3">
        <v>45847</v>
      </c>
      <c r="L9">
        <f t="shared" ca="1" si="0"/>
        <v>12</v>
      </c>
      <c r="M9" s="3">
        <v>45917</v>
      </c>
      <c r="N9" s="3">
        <v>45635</v>
      </c>
      <c r="O9" s="3">
        <v>46197</v>
      </c>
      <c r="P9" s="3" t="s">
        <v>63</v>
      </c>
      <c r="Q9" t="s">
        <v>56</v>
      </c>
      <c r="R9" s="3">
        <v>45614</v>
      </c>
      <c r="S9" t="s">
        <v>38</v>
      </c>
      <c r="T9">
        <v>21</v>
      </c>
      <c r="U9" t="s">
        <v>31</v>
      </c>
      <c r="V9">
        <v>6.615702479338843</v>
      </c>
    </row>
    <row r="10" spans="1:22" x14ac:dyDescent="0.3">
      <c r="A10">
        <v>9</v>
      </c>
      <c r="B10" t="s">
        <v>64</v>
      </c>
      <c r="C10" t="s">
        <v>26</v>
      </c>
      <c r="D10" t="s">
        <v>65</v>
      </c>
      <c r="E10" t="s">
        <v>25</v>
      </c>
      <c r="F10" s="3">
        <v>40704</v>
      </c>
      <c r="G10" t="s">
        <v>34</v>
      </c>
      <c r="H10">
        <v>6</v>
      </c>
      <c r="I10" s="3">
        <v>45357</v>
      </c>
      <c r="J10" t="s">
        <v>35</v>
      </c>
      <c r="K10" s="3">
        <v>45847</v>
      </c>
      <c r="L10">
        <f t="shared" ca="1" si="0"/>
        <v>14</v>
      </c>
      <c r="M10" s="3">
        <v>45917</v>
      </c>
      <c r="N10" s="3">
        <v>45657</v>
      </c>
      <c r="O10" s="3">
        <v>46197</v>
      </c>
      <c r="P10" s="3" t="s">
        <v>66</v>
      </c>
      <c r="Q10" t="s">
        <v>56</v>
      </c>
      <c r="R10" s="3">
        <v>45636</v>
      </c>
      <c r="S10" t="s">
        <v>30</v>
      </c>
      <c r="T10">
        <v>21</v>
      </c>
      <c r="U10" t="s">
        <v>45</v>
      </c>
      <c r="V10">
        <v>210</v>
      </c>
    </row>
    <row r="11" spans="1:22" x14ac:dyDescent="0.3">
      <c r="A11">
        <v>10</v>
      </c>
      <c r="B11" t="s">
        <v>67</v>
      </c>
      <c r="C11" t="s">
        <v>40</v>
      </c>
      <c r="D11" t="s">
        <v>68</v>
      </c>
      <c r="E11" t="s">
        <v>42</v>
      </c>
      <c r="F11" s="3">
        <v>41319</v>
      </c>
      <c r="G11" t="s">
        <v>34</v>
      </c>
      <c r="H11">
        <v>4</v>
      </c>
      <c r="I11" s="3">
        <v>45205</v>
      </c>
      <c r="J11" t="s">
        <v>27</v>
      </c>
      <c r="K11" s="3">
        <v>45847</v>
      </c>
      <c r="L11">
        <f t="shared" ca="1" si="0"/>
        <v>13</v>
      </c>
      <c r="M11" s="3">
        <v>46157</v>
      </c>
      <c r="N11" s="3">
        <v>45505</v>
      </c>
      <c r="O11" s="3">
        <v>46437</v>
      </c>
      <c r="P11" s="3" t="s">
        <v>69</v>
      </c>
      <c r="Q11" t="s">
        <v>70</v>
      </c>
      <c r="R11" s="3">
        <v>45483</v>
      </c>
      <c r="S11" t="s">
        <v>30</v>
      </c>
      <c r="T11">
        <v>30</v>
      </c>
      <c r="U11" t="s">
        <v>31</v>
      </c>
      <c r="V11">
        <v>2</v>
      </c>
    </row>
    <row r="12" spans="1:22" x14ac:dyDescent="0.3">
      <c r="A12">
        <v>11</v>
      </c>
      <c r="B12" t="s">
        <v>71</v>
      </c>
      <c r="C12" t="s">
        <v>23</v>
      </c>
      <c r="D12" t="s">
        <v>72</v>
      </c>
      <c r="E12" t="s">
        <v>42</v>
      </c>
      <c r="F12" s="3">
        <v>41428</v>
      </c>
      <c r="G12" t="s">
        <v>34</v>
      </c>
      <c r="H12">
        <v>6</v>
      </c>
      <c r="I12" s="3">
        <v>45324</v>
      </c>
      <c r="J12" t="s">
        <v>27</v>
      </c>
      <c r="K12" s="3">
        <v>45847</v>
      </c>
      <c r="L12">
        <f t="shared" ca="1" si="0"/>
        <v>12</v>
      </c>
      <c r="M12" s="3">
        <v>46157</v>
      </c>
      <c r="N12" s="3">
        <v>45624</v>
      </c>
      <c r="O12" s="3">
        <v>46437</v>
      </c>
      <c r="P12" s="3" t="s">
        <v>73</v>
      </c>
      <c r="Q12" t="s">
        <v>74</v>
      </c>
      <c r="R12" s="3">
        <v>45601</v>
      </c>
      <c r="S12" t="s">
        <v>75</v>
      </c>
      <c r="T12" t="s">
        <v>76</v>
      </c>
      <c r="U12" t="s">
        <v>45</v>
      </c>
      <c r="V12">
        <v>139.5</v>
      </c>
    </row>
    <row r="13" spans="1:22" x14ac:dyDescent="0.3">
      <c r="A13">
        <v>12</v>
      </c>
      <c r="B13" t="s">
        <v>77</v>
      </c>
      <c r="C13" t="s">
        <v>23</v>
      </c>
      <c r="D13" t="s">
        <v>78</v>
      </c>
      <c r="E13" t="s">
        <v>25</v>
      </c>
      <c r="F13" s="3">
        <v>41826</v>
      </c>
      <c r="G13" t="s">
        <v>34</v>
      </c>
      <c r="H13">
        <v>4</v>
      </c>
      <c r="I13" s="3">
        <v>45606</v>
      </c>
      <c r="J13" t="s">
        <v>35</v>
      </c>
      <c r="K13" s="3">
        <v>45847</v>
      </c>
      <c r="L13">
        <f t="shared" ca="1" si="0"/>
        <v>11</v>
      </c>
      <c r="M13" s="3">
        <v>46067</v>
      </c>
      <c r="N13" s="3">
        <v>45906</v>
      </c>
      <c r="O13" s="3">
        <v>46347</v>
      </c>
      <c r="P13" s="3" t="s">
        <v>79</v>
      </c>
      <c r="Q13" t="s">
        <v>56</v>
      </c>
      <c r="R13" s="3">
        <v>45881</v>
      </c>
      <c r="S13" t="s">
        <v>30</v>
      </c>
      <c r="T13">
        <v>21</v>
      </c>
      <c r="U13" t="s">
        <v>31</v>
      </c>
      <c r="V13">
        <v>0</v>
      </c>
    </row>
    <row r="14" spans="1:22" x14ac:dyDescent="0.3">
      <c r="A14">
        <v>13</v>
      </c>
      <c r="B14" t="s">
        <v>80</v>
      </c>
      <c r="C14" t="s">
        <v>40</v>
      </c>
      <c r="D14" t="s">
        <v>81</v>
      </c>
      <c r="E14" t="s">
        <v>42</v>
      </c>
      <c r="F14" s="3">
        <v>41431</v>
      </c>
      <c r="G14" t="s">
        <v>34</v>
      </c>
      <c r="H14">
        <v>3</v>
      </c>
      <c r="I14" s="3">
        <v>45232</v>
      </c>
      <c r="J14" t="s">
        <v>27</v>
      </c>
      <c r="K14" s="3">
        <v>45847</v>
      </c>
      <c r="L14">
        <f t="shared" ca="1" si="0"/>
        <v>12</v>
      </c>
      <c r="M14" s="3">
        <v>46097</v>
      </c>
      <c r="N14" s="3">
        <v>45532</v>
      </c>
      <c r="O14" s="3">
        <v>46377</v>
      </c>
      <c r="P14" s="3" t="s">
        <v>82</v>
      </c>
      <c r="Q14" t="s">
        <v>83</v>
      </c>
      <c r="R14" s="3">
        <v>45509</v>
      </c>
      <c r="S14" t="s">
        <v>38</v>
      </c>
      <c r="T14">
        <v>18</v>
      </c>
      <c r="U14" t="s">
        <v>45</v>
      </c>
      <c r="V14">
        <v>3.2024793388429749</v>
      </c>
    </row>
    <row r="15" spans="1:22" x14ac:dyDescent="0.3">
      <c r="A15">
        <v>14</v>
      </c>
      <c r="B15" t="s">
        <v>84</v>
      </c>
      <c r="C15" t="s">
        <v>26</v>
      </c>
      <c r="D15" t="s">
        <v>85</v>
      </c>
      <c r="E15" t="s">
        <v>25</v>
      </c>
      <c r="F15" s="3">
        <v>43128</v>
      </c>
      <c r="G15" t="s">
        <v>34</v>
      </c>
      <c r="H15">
        <v>2</v>
      </c>
      <c r="I15" s="3">
        <v>45303</v>
      </c>
      <c r="J15" t="s">
        <v>35</v>
      </c>
      <c r="K15" s="3">
        <v>45847</v>
      </c>
      <c r="L15">
        <f t="shared" ca="1" si="0"/>
        <v>8</v>
      </c>
      <c r="M15" s="3">
        <v>45947</v>
      </c>
      <c r="N15" s="3">
        <v>45603</v>
      </c>
      <c r="O15" s="3">
        <v>46227</v>
      </c>
      <c r="P15" s="3" t="s">
        <v>86</v>
      </c>
      <c r="Q15" t="s">
        <v>87</v>
      </c>
      <c r="R15" s="3">
        <v>45581</v>
      </c>
      <c r="S15" t="s">
        <v>38</v>
      </c>
      <c r="T15">
        <v>21</v>
      </c>
      <c r="U15" t="s">
        <v>31</v>
      </c>
      <c r="V15">
        <v>7</v>
      </c>
    </row>
    <row r="16" spans="1:22" x14ac:dyDescent="0.3">
      <c r="A16">
        <v>15</v>
      </c>
      <c r="B16" t="s">
        <v>88</v>
      </c>
      <c r="C16" t="s">
        <v>26</v>
      </c>
      <c r="D16" t="s">
        <v>89</v>
      </c>
      <c r="E16" t="s">
        <v>25</v>
      </c>
      <c r="F16" s="3">
        <v>42751</v>
      </c>
      <c r="G16" t="s">
        <v>26</v>
      </c>
      <c r="H16">
        <v>4</v>
      </c>
      <c r="I16" s="3">
        <v>45712</v>
      </c>
      <c r="J16" t="s">
        <v>27</v>
      </c>
      <c r="K16" s="3">
        <v>45847</v>
      </c>
      <c r="L16">
        <f t="shared" ca="1" si="0"/>
        <v>9</v>
      </c>
      <c r="M16" s="3">
        <v>46157</v>
      </c>
      <c r="N16" s="3">
        <v>46012</v>
      </c>
      <c r="O16" s="3">
        <v>46437</v>
      </c>
      <c r="P16" s="3" t="s">
        <v>90</v>
      </c>
      <c r="Q16" t="s">
        <v>74</v>
      </c>
      <c r="R16" s="3">
        <v>45992</v>
      </c>
      <c r="S16" t="s">
        <v>30</v>
      </c>
      <c r="T16">
        <v>28</v>
      </c>
      <c r="U16" t="s">
        <v>45</v>
      </c>
      <c r="V16">
        <v>5.166666666666667</v>
      </c>
    </row>
    <row r="17" spans="1:22" x14ac:dyDescent="0.3">
      <c r="A17">
        <v>16</v>
      </c>
      <c r="B17" t="s">
        <v>91</v>
      </c>
      <c r="C17" t="s">
        <v>40</v>
      </c>
      <c r="D17" t="s">
        <v>92</v>
      </c>
      <c r="E17" t="s">
        <v>42</v>
      </c>
      <c r="F17" s="3">
        <v>42020</v>
      </c>
      <c r="G17" t="s">
        <v>34</v>
      </c>
      <c r="H17">
        <v>3</v>
      </c>
      <c r="I17" s="3">
        <v>45458</v>
      </c>
      <c r="J17" t="s">
        <v>35</v>
      </c>
      <c r="K17" s="3">
        <v>45847</v>
      </c>
      <c r="L17">
        <f t="shared" ca="1" si="0"/>
        <v>11</v>
      </c>
      <c r="M17" s="3">
        <v>45917</v>
      </c>
      <c r="N17" s="3">
        <v>45758</v>
      </c>
      <c r="O17" s="3">
        <v>46197</v>
      </c>
      <c r="P17" s="3" t="s">
        <v>93</v>
      </c>
      <c r="Q17" t="s">
        <v>87</v>
      </c>
      <c r="R17" s="3">
        <v>45737</v>
      </c>
      <c r="S17" t="s">
        <v>94</v>
      </c>
      <c r="T17">
        <v>21</v>
      </c>
      <c r="U17" t="s">
        <v>31</v>
      </c>
      <c r="V17">
        <v>0</v>
      </c>
    </row>
    <row r="18" spans="1:22" x14ac:dyDescent="0.3">
      <c r="A18">
        <v>17</v>
      </c>
      <c r="B18" t="s">
        <v>95</v>
      </c>
      <c r="C18" t="s">
        <v>40</v>
      </c>
      <c r="D18" t="s">
        <v>96</v>
      </c>
      <c r="E18" t="s">
        <v>42</v>
      </c>
      <c r="F18" s="3">
        <v>41719</v>
      </c>
      <c r="G18" t="s">
        <v>26</v>
      </c>
      <c r="H18">
        <v>2</v>
      </c>
      <c r="I18" s="3">
        <v>45592</v>
      </c>
      <c r="J18" t="s">
        <v>35</v>
      </c>
      <c r="K18" s="3">
        <v>45847</v>
      </c>
      <c r="L18">
        <f t="shared" ca="1" si="0"/>
        <v>11</v>
      </c>
      <c r="M18" s="3">
        <v>46097</v>
      </c>
      <c r="N18" s="3">
        <v>45892</v>
      </c>
      <c r="O18" s="3">
        <v>46377</v>
      </c>
      <c r="P18" s="3">
        <v>45235</v>
      </c>
      <c r="Q18" t="s">
        <v>35</v>
      </c>
      <c r="R18" s="3">
        <v>45871</v>
      </c>
      <c r="S18" t="s">
        <v>30</v>
      </c>
      <c r="T18">
        <v>21</v>
      </c>
      <c r="U18" t="s">
        <v>31</v>
      </c>
      <c r="V18">
        <v>1170</v>
      </c>
    </row>
    <row r="19" spans="1:22" x14ac:dyDescent="0.3">
      <c r="A19">
        <v>18</v>
      </c>
      <c r="B19" t="s">
        <v>97</v>
      </c>
      <c r="C19" t="s">
        <v>26</v>
      </c>
      <c r="D19" t="s">
        <v>98</v>
      </c>
      <c r="E19" t="s">
        <v>42</v>
      </c>
      <c r="F19" s="3">
        <v>40909</v>
      </c>
      <c r="G19" t="s">
        <v>26</v>
      </c>
      <c r="H19">
        <v>5</v>
      </c>
      <c r="I19" s="3">
        <v>45603</v>
      </c>
      <c r="J19" t="s">
        <v>27</v>
      </c>
      <c r="K19" s="3">
        <v>45847</v>
      </c>
      <c r="L19">
        <f t="shared" ca="1" si="0"/>
        <v>14</v>
      </c>
      <c r="M19" s="3">
        <v>46127</v>
      </c>
      <c r="N19" s="3">
        <v>45903</v>
      </c>
      <c r="O19" s="3">
        <v>45883</v>
      </c>
      <c r="P19" s="3" t="s">
        <v>99</v>
      </c>
      <c r="Q19" t="s">
        <v>74</v>
      </c>
      <c r="R19" s="3">
        <v>45881</v>
      </c>
      <c r="S19" t="s">
        <v>30</v>
      </c>
      <c r="T19">
        <v>21</v>
      </c>
      <c r="U19" t="s">
        <v>45</v>
      </c>
      <c r="V19">
        <v>4.345505617977528</v>
      </c>
    </row>
    <row r="20" spans="1:22" x14ac:dyDescent="0.3">
      <c r="A20">
        <v>20</v>
      </c>
      <c r="B20" t="s">
        <v>102</v>
      </c>
      <c r="C20" t="s">
        <v>23</v>
      </c>
      <c r="D20" t="s">
        <v>103</v>
      </c>
      <c r="E20" t="s">
        <v>42</v>
      </c>
      <c r="F20" s="3">
        <v>41459</v>
      </c>
      <c r="G20" t="s">
        <v>26</v>
      </c>
      <c r="H20">
        <v>6</v>
      </c>
      <c r="I20" s="3">
        <v>45626</v>
      </c>
      <c r="J20" t="s">
        <v>27</v>
      </c>
      <c r="K20" s="3">
        <v>45847</v>
      </c>
      <c r="L20">
        <f t="shared" ca="1" si="0"/>
        <v>12</v>
      </c>
      <c r="M20" s="3">
        <v>46157</v>
      </c>
      <c r="N20" s="3">
        <v>45926</v>
      </c>
      <c r="O20" s="3">
        <v>45906</v>
      </c>
      <c r="P20" s="3" t="s">
        <v>104</v>
      </c>
      <c r="Q20" t="s">
        <v>70</v>
      </c>
      <c r="R20" s="3">
        <v>45905</v>
      </c>
      <c r="S20" t="s">
        <v>75</v>
      </c>
      <c r="T20" t="s">
        <v>76</v>
      </c>
      <c r="U20" t="s">
        <v>45</v>
      </c>
      <c r="V20">
        <v>180</v>
      </c>
    </row>
    <row r="21" spans="1:22" x14ac:dyDescent="0.3">
      <c r="A21">
        <v>21</v>
      </c>
      <c r="B21" t="s">
        <v>105</v>
      </c>
      <c r="C21" t="s">
        <v>26</v>
      </c>
      <c r="D21" t="s">
        <v>106</v>
      </c>
      <c r="E21" t="s">
        <v>25</v>
      </c>
      <c r="F21" s="3">
        <v>40544</v>
      </c>
      <c r="G21" t="s">
        <v>26</v>
      </c>
      <c r="H21">
        <v>6</v>
      </c>
      <c r="I21" s="3">
        <v>45638</v>
      </c>
      <c r="J21" t="s">
        <v>27</v>
      </c>
      <c r="K21" s="3">
        <v>45700</v>
      </c>
      <c r="L21">
        <f t="shared" ca="1" si="0"/>
        <v>15</v>
      </c>
      <c r="M21" s="3">
        <v>46157</v>
      </c>
      <c r="N21" s="3">
        <v>45938</v>
      </c>
      <c r="O21" s="3">
        <v>45918</v>
      </c>
      <c r="P21" s="3" t="s">
        <v>107</v>
      </c>
      <c r="Q21" t="s">
        <v>70</v>
      </c>
      <c r="R21" s="3">
        <v>45917</v>
      </c>
      <c r="S21" t="s">
        <v>75</v>
      </c>
      <c r="T21" t="s">
        <v>76</v>
      </c>
      <c r="U21" t="s">
        <v>45</v>
      </c>
      <c r="V21">
        <v>5</v>
      </c>
    </row>
    <row r="22" spans="1:22" x14ac:dyDescent="0.3">
      <c r="A22">
        <v>22</v>
      </c>
      <c r="B22" t="s">
        <v>108</v>
      </c>
      <c r="C22" t="s">
        <v>26</v>
      </c>
      <c r="D22" t="s">
        <v>109</v>
      </c>
      <c r="E22" t="s">
        <v>25</v>
      </c>
      <c r="F22" s="3">
        <v>43112</v>
      </c>
      <c r="G22" t="s">
        <v>26</v>
      </c>
      <c r="H22">
        <v>2</v>
      </c>
      <c r="I22" s="3">
        <v>45626</v>
      </c>
      <c r="J22" t="s">
        <v>35</v>
      </c>
      <c r="K22" s="3">
        <v>45847</v>
      </c>
      <c r="L22">
        <f ca="1">DATEDIF(F22, TODAY(), "Y")</f>
        <v>8</v>
      </c>
      <c r="M22" s="3">
        <v>46097</v>
      </c>
      <c r="N22" s="3">
        <v>45926</v>
      </c>
      <c r="O22" s="3">
        <v>45906</v>
      </c>
      <c r="P22" s="3">
        <v>45260</v>
      </c>
      <c r="Q22" t="s">
        <v>35</v>
      </c>
      <c r="R22" s="3">
        <v>45906</v>
      </c>
      <c r="S22" t="s">
        <v>94</v>
      </c>
      <c r="T22">
        <v>21</v>
      </c>
      <c r="U22" t="s">
        <v>31</v>
      </c>
      <c r="V22">
        <v>180</v>
      </c>
    </row>
    <row r="23" spans="1:22" x14ac:dyDescent="0.3">
      <c r="A23">
        <v>23</v>
      </c>
      <c r="B23" t="s">
        <v>110</v>
      </c>
      <c r="C23" t="s">
        <v>40</v>
      </c>
      <c r="D23" t="s">
        <v>111</v>
      </c>
      <c r="E23" t="s">
        <v>42</v>
      </c>
      <c r="F23" s="3">
        <v>39094</v>
      </c>
      <c r="G23" t="s">
        <v>34</v>
      </c>
      <c r="H23">
        <v>6</v>
      </c>
      <c r="I23" s="3">
        <v>45432</v>
      </c>
      <c r="J23" t="s">
        <v>27</v>
      </c>
      <c r="K23" s="3">
        <v>45847</v>
      </c>
      <c r="L23">
        <f t="shared" ca="1" si="0"/>
        <v>19</v>
      </c>
      <c r="M23" s="3">
        <v>46157</v>
      </c>
      <c r="N23" s="3">
        <v>45732</v>
      </c>
      <c r="O23" s="3">
        <v>45712</v>
      </c>
      <c r="P23" s="3" t="s">
        <v>112</v>
      </c>
      <c r="Q23" t="s">
        <v>70</v>
      </c>
      <c r="R23" s="3">
        <v>45711</v>
      </c>
      <c r="S23" t="s">
        <v>75</v>
      </c>
      <c r="T23" t="s">
        <v>76</v>
      </c>
      <c r="U23" t="s">
        <v>45</v>
      </c>
      <c r="V23">
        <v>180</v>
      </c>
    </row>
    <row r="24" spans="1:22" x14ac:dyDescent="0.3">
      <c r="A24">
        <v>24</v>
      </c>
      <c r="B24" t="s">
        <v>113</v>
      </c>
      <c r="C24" t="s">
        <v>26</v>
      </c>
      <c r="D24" t="s">
        <v>114</v>
      </c>
      <c r="E24" t="s">
        <v>25</v>
      </c>
      <c r="F24" s="3">
        <v>42741</v>
      </c>
      <c r="G24" t="s">
        <v>26</v>
      </c>
      <c r="H24">
        <v>2</v>
      </c>
      <c r="I24" s="3">
        <v>45610</v>
      </c>
      <c r="J24" t="s">
        <v>35</v>
      </c>
      <c r="K24" s="3">
        <v>45847</v>
      </c>
      <c r="L24">
        <f t="shared" ca="1" si="0"/>
        <v>9</v>
      </c>
      <c r="M24" s="3">
        <v>46097</v>
      </c>
      <c r="N24" s="3">
        <v>45910</v>
      </c>
      <c r="O24" s="3">
        <v>45890</v>
      </c>
      <c r="P24" s="3">
        <v>45376</v>
      </c>
      <c r="Q24" t="s">
        <v>35</v>
      </c>
      <c r="R24" s="3">
        <v>45889</v>
      </c>
      <c r="S24" t="s">
        <v>94</v>
      </c>
      <c r="T24">
        <v>21</v>
      </c>
      <c r="U24" t="s">
        <v>31</v>
      </c>
      <c r="V24">
        <v>2.5</v>
      </c>
    </row>
    <row r="25" spans="1:22" x14ac:dyDescent="0.3">
      <c r="A25">
        <v>25</v>
      </c>
      <c r="B25" t="s">
        <v>115</v>
      </c>
      <c r="C25" t="s">
        <v>40</v>
      </c>
      <c r="D25" t="s">
        <v>116</v>
      </c>
      <c r="E25" t="s">
        <v>42</v>
      </c>
      <c r="F25" s="3">
        <v>41010</v>
      </c>
      <c r="G25" t="s">
        <v>26</v>
      </c>
      <c r="H25">
        <v>6</v>
      </c>
      <c r="I25" s="3">
        <v>45598</v>
      </c>
      <c r="J25" t="s">
        <v>35</v>
      </c>
      <c r="K25" s="3">
        <v>45847</v>
      </c>
      <c r="L25">
        <f t="shared" ca="1" si="0"/>
        <v>13</v>
      </c>
      <c r="M25" s="3">
        <v>46097</v>
      </c>
      <c r="N25" s="3">
        <v>45898</v>
      </c>
      <c r="O25" s="3">
        <v>45878</v>
      </c>
      <c r="P25" s="3">
        <v>45332</v>
      </c>
      <c r="Q25" t="s">
        <v>35</v>
      </c>
      <c r="R25" s="3">
        <v>45877</v>
      </c>
      <c r="S25" t="s">
        <v>30</v>
      </c>
      <c r="T25">
        <v>21</v>
      </c>
      <c r="U25" t="s">
        <v>31</v>
      </c>
      <c r="V25">
        <v>0</v>
      </c>
    </row>
    <row r="26" spans="1:22" x14ac:dyDescent="0.3">
      <c r="A26">
        <v>29</v>
      </c>
      <c r="B26" t="s">
        <v>120</v>
      </c>
      <c r="C26" t="s">
        <v>26</v>
      </c>
      <c r="D26" t="s">
        <v>121</v>
      </c>
      <c r="E26" t="s">
        <v>25</v>
      </c>
      <c r="F26" s="3">
        <v>43140</v>
      </c>
      <c r="G26" t="s">
        <v>34</v>
      </c>
      <c r="H26">
        <v>1</v>
      </c>
      <c r="I26" s="3">
        <v>45012</v>
      </c>
      <c r="J26" t="s">
        <v>35</v>
      </c>
      <c r="K26" s="3">
        <v>45847</v>
      </c>
      <c r="L26">
        <f t="shared" ca="1" si="0"/>
        <v>8</v>
      </c>
      <c r="M26" s="3">
        <v>46067</v>
      </c>
      <c r="N26" s="3">
        <v>45312</v>
      </c>
      <c r="O26" s="3">
        <v>45292</v>
      </c>
      <c r="P26" s="3">
        <v>44931</v>
      </c>
      <c r="Q26" t="s">
        <v>35</v>
      </c>
      <c r="R26" s="3">
        <v>44991</v>
      </c>
      <c r="S26" t="s">
        <v>94</v>
      </c>
      <c r="T26">
        <v>21</v>
      </c>
      <c r="U26" t="s">
        <v>31</v>
      </c>
      <c r="V26">
        <v>2.2640449438202248</v>
      </c>
    </row>
    <row r="27" spans="1:22" x14ac:dyDescent="0.3">
      <c r="A27">
        <v>30</v>
      </c>
      <c r="B27" t="s">
        <v>122</v>
      </c>
      <c r="C27" t="s">
        <v>26</v>
      </c>
      <c r="D27" t="s">
        <v>123</v>
      </c>
      <c r="E27" t="s">
        <v>25</v>
      </c>
      <c r="F27" s="3">
        <v>43141</v>
      </c>
      <c r="G27" t="s">
        <v>26</v>
      </c>
      <c r="H27">
        <v>2</v>
      </c>
      <c r="I27" s="3">
        <v>45604</v>
      </c>
      <c r="J27" t="s">
        <v>35</v>
      </c>
      <c r="K27" s="3">
        <v>45847</v>
      </c>
      <c r="L27">
        <f t="shared" ca="1" si="0"/>
        <v>8</v>
      </c>
      <c r="M27" s="3">
        <v>46067</v>
      </c>
      <c r="N27" s="3">
        <v>45904</v>
      </c>
      <c r="O27" s="3">
        <v>45884</v>
      </c>
      <c r="P27" s="3">
        <v>45366</v>
      </c>
      <c r="Q27" t="s">
        <v>35</v>
      </c>
      <c r="R27" s="3">
        <v>45900</v>
      </c>
      <c r="S27" t="s">
        <v>30</v>
      </c>
      <c r="T27">
        <v>21</v>
      </c>
      <c r="U27" t="s">
        <v>31</v>
      </c>
      <c r="V27">
        <v>0</v>
      </c>
    </row>
    <row r="28" spans="1:22" x14ac:dyDescent="0.3">
      <c r="A28">
        <v>31</v>
      </c>
      <c r="B28" t="s">
        <v>124</v>
      </c>
      <c r="C28" t="s">
        <v>40</v>
      </c>
      <c r="D28" t="s">
        <v>125</v>
      </c>
      <c r="E28" t="s">
        <v>42</v>
      </c>
      <c r="F28" s="3">
        <v>41761</v>
      </c>
      <c r="G28" t="s">
        <v>26</v>
      </c>
      <c r="H28">
        <v>4</v>
      </c>
      <c r="I28" s="3">
        <v>45626</v>
      </c>
      <c r="J28" t="s">
        <v>27</v>
      </c>
      <c r="K28" s="3">
        <v>45847</v>
      </c>
      <c r="L28">
        <f t="shared" ca="1" si="0"/>
        <v>11</v>
      </c>
      <c r="M28" s="3">
        <v>46157</v>
      </c>
      <c r="N28" s="3">
        <v>45926</v>
      </c>
      <c r="O28" s="3">
        <v>45906</v>
      </c>
      <c r="P28" s="3" t="s">
        <v>126</v>
      </c>
      <c r="Q28" t="s">
        <v>74</v>
      </c>
      <c r="R28" s="3">
        <v>45912</v>
      </c>
      <c r="S28" t="s">
        <v>94</v>
      </c>
      <c r="T28" t="s">
        <v>76</v>
      </c>
      <c r="U28" t="s">
        <v>45</v>
      </c>
      <c r="V28">
        <v>201.5</v>
      </c>
    </row>
    <row r="29" spans="1:22" x14ac:dyDescent="0.3">
      <c r="A29">
        <v>32</v>
      </c>
      <c r="B29" t="s">
        <v>127</v>
      </c>
      <c r="C29" t="s">
        <v>40</v>
      </c>
      <c r="D29" t="s">
        <v>128</v>
      </c>
      <c r="E29" t="s">
        <v>42</v>
      </c>
      <c r="F29" s="3">
        <v>41255</v>
      </c>
      <c r="G29" t="s">
        <v>26</v>
      </c>
      <c r="H29">
        <v>5</v>
      </c>
      <c r="I29" s="3">
        <v>45600</v>
      </c>
      <c r="J29" t="s">
        <v>35</v>
      </c>
      <c r="K29" s="3">
        <v>45847</v>
      </c>
      <c r="L29">
        <f t="shared" ca="1" si="0"/>
        <v>13</v>
      </c>
      <c r="M29" s="3">
        <v>46067</v>
      </c>
      <c r="N29" s="3">
        <v>45900</v>
      </c>
      <c r="O29" s="3">
        <v>45880</v>
      </c>
      <c r="P29" s="3">
        <v>45334</v>
      </c>
      <c r="Q29" t="s">
        <v>35</v>
      </c>
      <c r="R29" s="3">
        <v>45896</v>
      </c>
      <c r="S29" t="s">
        <v>94</v>
      </c>
      <c r="T29">
        <v>21</v>
      </c>
      <c r="U29" t="s">
        <v>31</v>
      </c>
      <c r="V29">
        <v>5</v>
      </c>
    </row>
    <row r="30" spans="1:22" x14ac:dyDescent="0.3">
      <c r="A30">
        <v>33</v>
      </c>
      <c r="B30" t="s">
        <v>129</v>
      </c>
      <c r="C30" t="s">
        <v>40</v>
      </c>
      <c r="D30" t="s">
        <v>130</v>
      </c>
      <c r="E30" t="s">
        <v>42</v>
      </c>
      <c r="F30" s="3">
        <v>43166</v>
      </c>
      <c r="G30" t="s">
        <v>34</v>
      </c>
      <c r="H30">
        <v>1</v>
      </c>
      <c r="I30" s="3">
        <v>45034</v>
      </c>
      <c r="J30" t="s">
        <v>35</v>
      </c>
      <c r="K30" s="3">
        <v>45847</v>
      </c>
      <c r="L30">
        <f t="shared" ca="1" si="0"/>
        <v>7</v>
      </c>
      <c r="M30" s="3">
        <v>46082</v>
      </c>
      <c r="N30" s="3">
        <v>45334</v>
      </c>
      <c r="O30" s="3">
        <v>45314</v>
      </c>
      <c r="P30" s="3">
        <v>44948</v>
      </c>
      <c r="Q30" t="s">
        <v>35</v>
      </c>
      <c r="R30" s="3">
        <v>45013</v>
      </c>
      <c r="S30" t="s">
        <v>30</v>
      </c>
      <c r="T30">
        <v>21</v>
      </c>
      <c r="U30" t="s">
        <v>31</v>
      </c>
      <c r="V30">
        <v>0</v>
      </c>
    </row>
    <row r="31" spans="1:22" x14ac:dyDescent="0.3">
      <c r="A31">
        <v>34</v>
      </c>
      <c r="B31" t="s">
        <v>131</v>
      </c>
      <c r="C31" t="s">
        <v>40</v>
      </c>
      <c r="D31" t="s">
        <v>132</v>
      </c>
      <c r="E31" t="s">
        <v>25</v>
      </c>
      <c r="F31" s="3">
        <v>41246</v>
      </c>
      <c r="G31" t="s">
        <v>26</v>
      </c>
      <c r="H31">
        <v>6</v>
      </c>
      <c r="I31" s="3">
        <v>45626</v>
      </c>
      <c r="J31" t="s">
        <v>27</v>
      </c>
      <c r="K31" s="3">
        <v>45847</v>
      </c>
      <c r="L31">
        <f t="shared" ca="1" si="0"/>
        <v>13</v>
      </c>
      <c r="M31" s="3">
        <v>46157</v>
      </c>
      <c r="N31" s="3">
        <v>45926</v>
      </c>
      <c r="O31" s="3">
        <v>45906</v>
      </c>
      <c r="P31" s="3" t="s">
        <v>133</v>
      </c>
      <c r="Q31" t="s">
        <v>70</v>
      </c>
      <c r="R31" s="3">
        <v>45912</v>
      </c>
      <c r="S31" t="s">
        <v>75</v>
      </c>
      <c r="T31" t="s">
        <v>76</v>
      </c>
      <c r="U31" t="s">
        <v>45</v>
      </c>
      <c r="V31">
        <v>165</v>
      </c>
    </row>
    <row r="32" spans="1:22" x14ac:dyDescent="0.3">
      <c r="A32">
        <v>35</v>
      </c>
      <c r="B32" t="s">
        <v>134</v>
      </c>
      <c r="C32" t="s">
        <v>26</v>
      </c>
      <c r="D32" t="s">
        <v>135</v>
      </c>
      <c r="E32" t="s">
        <v>25</v>
      </c>
      <c r="F32" s="3">
        <v>42739</v>
      </c>
      <c r="G32" t="s">
        <v>26</v>
      </c>
      <c r="H32">
        <v>2</v>
      </c>
      <c r="I32" s="3">
        <v>45626</v>
      </c>
      <c r="J32" t="s">
        <v>35</v>
      </c>
      <c r="K32" s="3">
        <v>45847</v>
      </c>
      <c r="L32">
        <f t="shared" ca="1" si="0"/>
        <v>9</v>
      </c>
      <c r="M32" s="3">
        <v>46052</v>
      </c>
      <c r="N32" s="3">
        <v>45926</v>
      </c>
      <c r="O32" s="3">
        <v>45906</v>
      </c>
      <c r="P32" s="3">
        <v>45369</v>
      </c>
      <c r="Q32" t="s">
        <v>35</v>
      </c>
      <c r="R32" s="3">
        <v>45912</v>
      </c>
      <c r="S32" t="s">
        <v>94</v>
      </c>
      <c r="T32">
        <v>21</v>
      </c>
      <c r="U32" t="s">
        <v>31</v>
      </c>
      <c r="V32">
        <v>0</v>
      </c>
    </row>
    <row r="33" spans="1:22" x14ac:dyDescent="0.3">
      <c r="A33">
        <v>36</v>
      </c>
      <c r="B33">
        <v>1807</v>
      </c>
      <c r="C33" t="s">
        <v>26</v>
      </c>
      <c r="D33" t="s">
        <v>136</v>
      </c>
      <c r="E33" t="s">
        <v>42</v>
      </c>
      <c r="F33" s="3">
        <v>43118</v>
      </c>
      <c r="G33" t="s">
        <v>26</v>
      </c>
      <c r="H33">
        <v>3</v>
      </c>
      <c r="I33" s="3">
        <v>45626</v>
      </c>
      <c r="J33" t="s">
        <v>35</v>
      </c>
      <c r="K33" s="3">
        <v>45847</v>
      </c>
      <c r="L33">
        <f t="shared" ca="1" si="0"/>
        <v>8</v>
      </c>
      <c r="M33" s="3">
        <v>46067</v>
      </c>
      <c r="N33" s="3">
        <v>45926</v>
      </c>
      <c r="O33" s="3">
        <v>45906</v>
      </c>
      <c r="P33" s="3">
        <v>45373</v>
      </c>
      <c r="Q33" t="s">
        <v>35</v>
      </c>
      <c r="R33" s="3">
        <v>45912</v>
      </c>
      <c r="S33" t="s">
        <v>30</v>
      </c>
      <c r="T33">
        <v>21</v>
      </c>
      <c r="U33" t="s">
        <v>31</v>
      </c>
      <c r="V33">
        <v>6.5</v>
      </c>
    </row>
    <row r="34" spans="1:22" x14ac:dyDescent="0.3">
      <c r="A34">
        <v>38</v>
      </c>
      <c r="B34" t="s">
        <v>139</v>
      </c>
      <c r="C34" t="s">
        <v>26</v>
      </c>
      <c r="D34" t="s">
        <v>140</v>
      </c>
      <c r="E34" t="s">
        <v>42</v>
      </c>
      <c r="F34" s="3">
        <v>43142</v>
      </c>
      <c r="G34" t="s">
        <v>26</v>
      </c>
      <c r="H34">
        <v>2</v>
      </c>
      <c r="I34" s="3">
        <v>45609</v>
      </c>
      <c r="J34" t="s">
        <v>27</v>
      </c>
      <c r="K34" s="3">
        <v>45847</v>
      </c>
      <c r="L34">
        <f t="shared" ca="1" si="0"/>
        <v>8</v>
      </c>
      <c r="M34" s="3">
        <v>46157</v>
      </c>
      <c r="N34" s="3">
        <v>45909</v>
      </c>
      <c r="O34" s="3">
        <v>45889</v>
      </c>
      <c r="P34" s="3" t="s">
        <v>141</v>
      </c>
      <c r="Q34" t="s">
        <v>74</v>
      </c>
      <c r="R34" s="3">
        <v>45888</v>
      </c>
      <c r="S34" t="s">
        <v>138</v>
      </c>
      <c r="T34">
        <v>24</v>
      </c>
      <c r="U34" t="s">
        <v>45</v>
      </c>
      <c r="V34">
        <v>6.7166666666666668</v>
      </c>
    </row>
    <row r="35" spans="1:22" x14ac:dyDescent="0.3">
      <c r="A35">
        <v>39</v>
      </c>
      <c r="B35" t="s">
        <v>142</v>
      </c>
      <c r="C35" t="s">
        <v>40</v>
      </c>
      <c r="D35" t="s">
        <v>143</v>
      </c>
      <c r="E35" t="s">
        <v>42</v>
      </c>
      <c r="F35" s="3">
        <v>43178</v>
      </c>
      <c r="G35" t="s">
        <v>34</v>
      </c>
      <c r="H35">
        <v>1</v>
      </c>
      <c r="I35" s="3">
        <v>45339</v>
      </c>
      <c r="J35" t="s">
        <v>35</v>
      </c>
      <c r="K35" s="3">
        <v>45847</v>
      </c>
      <c r="L35">
        <f t="shared" ca="1" si="0"/>
        <v>7</v>
      </c>
      <c r="M35" s="3">
        <v>45962</v>
      </c>
      <c r="N35" s="3">
        <v>45639</v>
      </c>
      <c r="O35" s="3">
        <v>45619</v>
      </c>
      <c r="P35" s="3">
        <v>45231</v>
      </c>
      <c r="Q35" t="s">
        <v>35</v>
      </c>
      <c r="R35" s="3">
        <v>45318</v>
      </c>
      <c r="S35" t="s">
        <v>30</v>
      </c>
      <c r="T35">
        <v>21</v>
      </c>
      <c r="U35" t="s">
        <v>31</v>
      </c>
      <c r="V35">
        <v>135</v>
      </c>
    </row>
    <row r="36" spans="1:22" x14ac:dyDescent="0.3">
      <c r="A36">
        <v>43</v>
      </c>
      <c r="B36" t="s">
        <v>144</v>
      </c>
      <c r="C36" t="s">
        <v>145</v>
      </c>
      <c r="D36" t="s">
        <v>146</v>
      </c>
      <c r="E36" t="s">
        <v>42</v>
      </c>
      <c r="F36" s="3">
        <v>43171</v>
      </c>
      <c r="G36" t="s">
        <v>34</v>
      </c>
      <c r="H36">
        <v>3</v>
      </c>
      <c r="I36" s="3">
        <v>45656</v>
      </c>
      <c r="J36" t="s">
        <v>27</v>
      </c>
      <c r="K36" s="3">
        <v>45847</v>
      </c>
      <c r="L36">
        <f t="shared" ca="1" si="0"/>
        <v>7</v>
      </c>
      <c r="M36" s="3">
        <v>46157</v>
      </c>
      <c r="N36" s="3">
        <v>45956</v>
      </c>
      <c r="O36" s="3">
        <v>45620</v>
      </c>
      <c r="P36" s="3" t="s">
        <v>147</v>
      </c>
      <c r="Q36" t="s">
        <v>74</v>
      </c>
      <c r="R36" s="3">
        <v>45935</v>
      </c>
      <c r="S36" t="s">
        <v>75</v>
      </c>
      <c r="T36">
        <v>23</v>
      </c>
      <c r="U36" t="s">
        <v>45</v>
      </c>
      <c r="V36">
        <v>201.5</v>
      </c>
    </row>
    <row r="37" spans="1:22" x14ac:dyDescent="0.3">
      <c r="A37">
        <v>45</v>
      </c>
      <c r="B37">
        <v>799</v>
      </c>
      <c r="C37" t="s">
        <v>40</v>
      </c>
      <c r="D37" t="s">
        <v>148</v>
      </c>
      <c r="E37" t="s">
        <v>25</v>
      </c>
      <c r="F37" s="3">
        <v>43559</v>
      </c>
      <c r="G37" t="s">
        <v>34</v>
      </c>
      <c r="H37">
        <v>1</v>
      </c>
      <c r="I37" s="3">
        <v>45427</v>
      </c>
      <c r="J37" t="s">
        <v>35</v>
      </c>
      <c r="K37" s="3">
        <v>45847</v>
      </c>
      <c r="L37">
        <f t="shared" ca="1" si="0"/>
        <v>6</v>
      </c>
      <c r="M37" s="3">
        <v>46097</v>
      </c>
      <c r="N37" s="3">
        <v>45727</v>
      </c>
      <c r="O37" s="3">
        <v>45621</v>
      </c>
      <c r="P37" s="3">
        <v>45406</v>
      </c>
      <c r="Q37" t="s">
        <v>35</v>
      </c>
      <c r="R37" s="3">
        <v>45406</v>
      </c>
      <c r="S37" t="s">
        <v>30</v>
      </c>
      <c r="T37">
        <v>21</v>
      </c>
      <c r="U37" t="s">
        <v>31</v>
      </c>
      <c r="V37">
        <v>0</v>
      </c>
    </row>
    <row r="38" spans="1:22" x14ac:dyDescent="0.3">
      <c r="A38">
        <v>47</v>
      </c>
      <c r="B38" t="s">
        <v>149</v>
      </c>
      <c r="C38" t="s">
        <v>150</v>
      </c>
      <c r="D38" t="s">
        <v>151</v>
      </c>
      <c r="E38" t="s">
        <v>152</v>
      </c>
      <c r="F38" s="3">
        <v>43559</v>
      </c>
      <c r="G38" t="s">
        <v>26</v>
      </c>
      <c r="H38">
        <v>2</v>
      </c>
      <c r="I38" s="3">
        <v>45673</v>
      </c>
      <c r="J38" t="s">
        <v>27</v>
      </c>
      <c r="K38" s="3">
        <v>45847</v>
      </c>
      <c r="L38">
        <f t="shared" ca="1" si="0"/>
        <v>6</v>
      </c>
      <c r="M38" s="3">
        <v>46157</v>
      </c>
      <c r="N38" s="3">
        <v>45973</v>
      </c>
      <c r="O38" s="3">
        <v>45622</v>
      </c>
      <c r="P38" s="3" t="s">
        <v>153</v>
      </c>
      <c r="Q38" t="s">
        <v>74</v>
      </c>
      <c r="R38" s="3">
        <v>45952</v>
      </c>
      <c r="S38" t="s">
        <v>138</v>
      </c>
      <c r="T38">
        <v>24</v>
      </c>
      <c r="U38" t="s">
        <v>45</v>
      </c>
      <c r="V38">
        <v>0</v>
      </c>
    </row>
    <row r="39" spans="1:22" x14ac:dyDescent="0.3">
      <c r="A39">
        <v>49</v>
      </c>
      <c r="B39" t="s">
        <v>154</v>
      </c>
      <c r="C39" t="s">
        <v>150</v>
      </c>
      <c r="D39" t="s">
        <v>155</v>
      </c>
      <c r="E39" t="s">
        <v>152</v>
      </c>
      <c r="F39" s="3">
        <v>43561</v>
      </c>
      <c r="G39" t="s">
        <v>26</v>
      </c>
      <c r="H39">
        <v>2</v>
      </c>
      <c r="I39" s="3">
        <v>45573</v>
      </c>
      <c r="J39" t="s">
        <v>35</v>
      </c>
      <c r="K39" s="3">
        <v>45847</v>
      </c>
      <c r="L39">
        <f t="shared" ca="1" si="0"/>
        <v>6</v>
      </c>
      <c r="M39" s="3">
        <v>46022</v>
      </c>
      <c r="N39" s="3">
        <v>45873</v>
      </c>
      <c r="O39" s="3">
        <v>46364</v>
      </c>
      <c r="P39" s="3">
        <v>45552</v>
      </c>
      <c r="Q39" t="s">
        <v>35</v>
      </c>
      <c r="R39" s="3">
        <v>45552</v>
      </c>
      <c r="S39" t="s">
        <v>94</v>
      </c>
      <c r="T39">
        <v>21</v>
      </c>
      <c r="U39" t="s">
        <v>31</v>
      </c>
      <c r="V39">
        <v>0</v>
      </c>
    </row>
    <row r="40" spans="1:22" x14ac:dyDescent="0.3">
      <c r="A40">
        <v>51</v>
      </c>
      <c r="B40">
        <v>797</v>
      </c>
      <c r="C40" t="s">
        <v>40</v>
      </c>
      <c r="D40" t="s">
        <v>158</v>
      </c>
      <c r="E40" t="s">
        <v>25</v>
      </c>
      <c r="F40" s="3">
        <v>43624</v>
      </c>
      <c r="G40" t="s">
        <v>26</v>
      </c>
      <c r="H40">
        <v>1</v>
      </c>
      <c r="I40" s="3">
        <v>45598</v>
      </c>
      <c r="J40" t="s">
        <v>27</v>
      </c>
      <c r="K40" s="3">
        <v>45847</v>
      </c>
      <c r="L40">
        <f t="shared" ca="1" si="0"/>
        <v>6</v>
      </c>
      <c r="M40" s="3">
        <v>46157</v>
      </c>
      <c r="N40" s="3">
        <v>45898</v>
      </c>
      <c r="O40" s="3">
        <v>46365</v>
      </c>
      <c r="P40" s="3" t="s">
        <v>159</v>
      </c>
      <c r="Q40" t="s">
        <v>74</v>
      </c>
      <c r="R40" s="3">
        <v>45877</v>
      </c>
      <c r="S40" t="s">
        <v>138</v>
      </c>
      <c r="T40">
        <v>24</v>
      </c>
      <c r="U40" t="s">
        <v>45</v>
      </c>
      <c r="V40">
        <v>196</v>
      </c>
    </row>
    <row r="41" spans="1:22" x14ac:dyDescent="0.3">
      <c r="A41">
        <v>52</v>
      </c>
      <c r="B41">
        <v>783</v>
      </c>
      <c r="C41" t="s">
        <v>40</v>
      </c>
      <c r="D41" t="s">
        <v>160</v>
      </c>
      <c r="E41" t="s">
        <v>42</v>
      </c>
      <c r="F41" s="3">
        <v>43192</v>
      </c>
      <c r="G41" t="s">
        <v>26</v>
      </c>
      <c r="H41">
        <v>1</v>
      </c>
      <c r="I41" s="3">
        <v>45632</v>
      </c>
      <c r="J41" t="s">
        <v>27</v>
      </c>
      <c r="K41" s="3">
        <v>45847</v>
      </c>
      <c r="L41">
        <f t="shared" ca="1" si="0"/>
        <v>7</v>
      </c>
      <c r="M41" s="3">
        <v>46157</v>
      </c>
      <c r="N41" s="3">
        <v>45932</v>
      </c>
      <c r="O41" s="3">
        <v>46366</v>
      </c>
      <c r="P41" s="3" t="s">
        <v>153</v>
      </c>
      <c r="Q41" t="s">
        <v>74</v>
      </c>
      <c r="R41" s="3">
        <v>45911</v>
      </c>
      <c r="S41" t="s">
        <v>138</v>
      </c>
      <c r="T41">
        <v>23</v>
      </c>
      <c r="U41" t="s">
        <v>45</v>
      </c>
      <c r="V41">
        <v>0</v>
      </c>
    </row>
    <row r="42" spans="1:22" x14ac:dyDescent="0.3">
      <c r="A42">
        <v>58</v>
      </c>
      <c r="B42">
        <v>801</v>
      </c>
      <c r="C42" t="s">
        <v>40</v>
      </c>
      <c r="D42" t="s">
        <v>161</v>
      </c>
      <c r="E42" t="s">
        <v>42</v>
      </c>
      <c r="F42" s="3">
        <v>43569</v>
      </c>
      <c r="G42" t="s">
        <v>26</v>
      </c>
      <c r="H42">
        <v>1</v>
      </c>
      <c r="I42" s="3">
        <v>45788</v>
      </c>
      <c r="J42" t="s">
        <v>27</v>
      </c>
      <c r="K42" s="3">
        <v>45847</v>
      </c>
      <c r="L42">
        <f t="shared" ca="1" si="0"/>
        <v>6</v>
      </c>
      <c r="M42" s="3">
        <v>46157</v>
      </c>
      <c r="N42" s="3">
        <v>46088</v>
      </c>
      <c r="O42" s="3">
        <v>46367</v>
      </c>
      <c r="P42" s="3" t="s">
        <v>162</v>
      </c>
      <c r="Q42" t="s">
        <v>74</v>
      </c>
      <c r="R42" s="3">
        <v>46067</v>
      </c>
      <c r="S42" t="s">
        <v>138</v>
      </c>
      <c r="T42">
        <v>24</v>
      </c>
      <c r="U42" t="s">
        <v>45</v>
      </c>
      <c r="V42">
        <v>0</v>
      </c>
    </row>
    <row r="43" spans="1:22" x14ac:dyDescent="0.3">
      <c r="A43">
        <v>1</v>
      </c>
      <c r="B43">
        <v>30005</v>
      </c>
      <c r="C43" t="s">
        <v>23</v>
      </c>
      <c r="D43" t="s">
        <v>24</v>
      </c>
      <c r="E43" t="s">
        <v>25</v>
      </c>
      <c r="F43" s="3">
        <v>43177</v>
      </c>
      <c r="G43" t="s">
        <v>26</v>
      </c>
      <c r="H43">
        <v>3</v>
      </c>
      <c r="I43" s="3">
        <v>45626</v>
      </c>
      <c r="J43" t="s">
        <v>27</v>
      </c>
      <c r="K43" s="3">
        <v>45778</v>
      </c>
      <c r="L43">
        <f t="shared" ca="1" si="0"/>
        <v>7</v>
      </c>
      <c r="M43" s="3">
        <v>46088</v>
      </c>
      <c r="N43" s="3">
        <v>45926</v>
      </c>
      <c r="O43" s="3">
        <v>46368</v>
      </c>
      <c r="P43" s="3" t="s">
        <v>163</v>
      </c>
      <c r="Q43" t="s">
        <v>74</v>
      </c>
      <c r="R43" s="3">
        <v>45905</v>
      </c>
      <c r="S43" t="s">
        <v>138</v>
      </c>
      <c r="T43">
        <v>24</v>
      </c>
      <c r="U43" t="s">
        <v>45</v>
      </c>
      <c r="V43">
        <v>7</v>
      </c>
    </row>
    <row r="44" spans="1:22" x14ac:dyDescent="0.3">
      <c r="A44">
        <v>4</v>
      </c>
      <c r="B44">
        <v>50019</v>
      </c>
      <c r="C44" t="s">
        <v>40</v>
      </c>
      <c r="D44" t="s">
        <v>47</v>
      </c>
      <c r="E44" t="s">
        <v>42</v>
      </c>
      <c r="F44" s="3">
        <v>41496</v>
      </c>
      <c r="G44" t="s">
        <v>34</v>
      </c>
      <c r="H44">
        <v>6</v>
      </c>
      <c r="I44" s="3">
        <v>45261</v>
      </c>
      <c r="J44" t="s">
        <v>35</v>
      </c>
      <c r="K44" s="3">
        <v>45778</v>
      </c>
      <c r="L44">
        <f ca="1">DATEDIF(F44, TODAY(), "Y")</f>
        <v>12</v>
      </c>
      <c r="M44" s="3">
        <v>46013</v>
      </c>
      <c r="N44" s="3">
        <v>45561</v>
      </c>
      <c r="O44" s="3">
        <v>46293</v>
      </c>
      <c r="P44" s="3">
        <v>45240</v>
      </c>
      <c r="Q44" t="s">
        <v>35</v>
      </c>
      <c r="R44" s="3">
        <v>45240</v>
      </c>
      <c r="S44" t="s">
        <v>94</v>
      </c>
      <c r="T44">
        <v>21</v>
      </c>
      <c r="U44" t="s">
        <v>31</v>
      </c>
      <c r="V44">
        <v>60</v>
      </c>
    </row>
    <row r="45" spans="1:22" x14ac:dyDescent="0.3">
      <c r="A45">
        <v>5</v>
      </c>
      <c r="B45">
        <v>270309</v>
      </c>
      <c r="C45" t="s">
        <v>26</v>
      </c>
      <c r="D45" t="s">
        <v>50</v>
      </c>
      <c r="E45" t="s">
        <v>42</v>
      </c>
      <c r="F45" s="3">
        <v>42800</v>
      </c>
      <c r="G45" t="s">
        <v>34</v>
      </c>
      <c r="H45">
        <v>2</v>
      </c>
      <c r="I45" s="3">
        <v>45413</v>
      </c>
      <c r="J45" t="s">
        <v>35</v>
      </c>
      <c r="K45" s="3">
        <v>45778</v>
      </c>
      <c r="L45">
        <f t="shared" ca="1" si="0"/>
        <v>8</v>
      </c>
      <c r="M45" s="3">
        <v>45968</v>
      </c>
      <c r="N45" s="3">
        <v>45713</v>
      </c>
      <c r="O45" s="3">
        <v>46248</v>
      </c>
      <c r="P45" s="3">
        <v>45392</v>
      </c>
      <c r="Q45" t="s">
        <v>35</v>
      </c>
      <c r="R45" s="3">
        <v>45392</v>
      </c>
      <c r="S45" t="s">
        <v>30</v>
      </c>
      <c r="T45">
        <v>21</v>
      </c>
      <c r="U45" t="s">
        <v>31</v>
      </c>
      <c r="V45">
        <v>6</v>
      </c>
    </row>
    <row r="46" spans="1:22" x14ac:dyDescent="0.3">
      <c r="A46">
        <v>6</v>
      </c>
      <c r="B46">
        <v>10022</v>
      </c>
      <c r="C46" t="s">
        <v>40</v>
      </c>
      <c r="D46" t="s">
        <v>54</v>
      </c>
      <c r="E46" t="s">
        <v>42</v>
      </c>
      <c r="F46" s="3">
        <v>41526</v>
      </c>
      <c r="G46" t="s">
        <v>26</v>
      </c>
      <c r="H46">
        <v>6</v>
      </c>
      <c r="I46" s="3">
        <v>45681</v>
      </c>
      <c r="J46" t="s">
        <v>27</v>
      </c>
      <c r="K46" s="3">
        <v>45778</v>
      </c>
      <c r="L46">
        <f t="shared" ca="1" si="0"/>
        <v>12</v>
      </c>
      <c r="M46" s="3">
        <v>46088</v>
      </c>
      <c r="N46" s="3">
        <v>45981</v>
      </c>
      <c r="O46" s="3">
        <v>46368</v>
      </c>
      <c r="P46" s="3" t="s">
        <v>164</v>
      </c>
      <c r="Q46" t="s">
        <v>74</v>
      </c>
      <c r="R46" s="3">
        <v>45960</v>
      </c>
      <c r="S46" t="s">
        <v>138</v>
      </c>
      <c r="T46">
        <v>24</v>
      </c>
      <c r="U46" t="s">
        <v>45</v>
      </c>
      <c r="V46">
        <v>6885</v>
      </c>
    </row>
    <row r="47" spans="1:22" x14ac:dyDescent="0.3">
      <c r="A47">
        <v>7</v>
      </c>
      <c r="B47">
        <v>2913</v>
      </c>
      <c r="C47" t="s">
        <v>40</v>
      </c>
      <c r="D47" t="s">
        <v>58</v>
      </c>
      <c r="E47" t="s">
        <v>42</v>
      </c>
      <c r="F47" s="3">
        <v>41436</v>
      </c>
      <c r="G47" t="s">
        <v>34</v>
      </c>
      <c r="H47">
        <v>4</v>
      </c>
      <c r="I47" s="3">
        <v>45323</v>
      </c>
      <c r="J47" t="s">
        <v>35</v>
      </c>
      <c r="K47" s="3">
        <v>45778</v>
      </c>
      <c r="L47">
        <f t="shared" ca="1" si="0"/>
        <v>12</v>
      </c>
      <c r="M47" s="3">
        <v>45998</v>
      </c>
      <c r="N47" s="3">
        <v>45623</v>
      </c>
      <c r="O47" s="3">
        <v>46278</v>
      </c>
      <c r="P47" s="3">
        <v>45302</v>
      </c>
      <c r="Q47" t="s">
        <v>35</v>
      </c>
      <c r="R47" s="3">
        <v>45302</v>
      </c>
      <c r="S47" t="s">
        <v>94</v>
      </c>
      <c r="T47">
        <v>21</v>
      </c>
      <c r="U47" t="s">
        <v>31</v>
      </c>
      <c r="V47">
        <v>6.774193548387097</v>
      </c>
    </row>
    <row r="48" spans="1:22" x14ac:dyDescent="0.3">
      <c r="A48">
        <v>8</v>
      </c>
      <c r="B48">
        <v>2926</v>
      </c>
      <c r="C48" t="s">
        <v>40</v>
      </c>
      <c r="D48" t="s">
        <v>61</v>
      </c>
      <c r="E48" t="s">
        <v>42</v>
      </c>
      <c r="F48" s="3">
        <v>41477</v>
      </c>
      <c r="G48" t="s">
        <v>34</v>
      </c>
      <c r="H48">
        <v>5</v>
      </c>
      <c r="I48" s="3">
        <v>45335</v>
      </c>
      <c r="J48" t="s">
        <v>62</v>
      </c>
      <c r="K48" s="3">
        <v>45778</v>
      </c>
      <c r="L48">
        <f t="shared" ca="1" si="0"/>
        <v>12</v>
      </c>
      <c r="M48" s="3">
        <v>45908</v>
      </c>
      <c r="N48" s="3">
        <v>45635</v>
      </c>
      <c r="O48" s="3">
        <v>46188</v>
      </c>
      <c r="P48" s="3">
        <v>45314</v>
      </c>
      <c r="Q48" t="s">
        <v>35</v>
      </c>
      <c r="R48" s="3">
        <v>45314</v>
      </c>
      <c r="S48" t="s">
        <v>30</v>
      </c>
      <c r="T48">
        <v>21</v>
      </c>
      <c r="U48" t="s">
        <v>31</v>
      </c>
      <c r="V48">
        <v>6.5</v>
      </c>
    </row>
    <row r="49" spans="1:22" x14ac:dyDescent="0.3">
      <c r="A49">
        <v>9</v>
      </c>
      <c r="B49">
        <v>1280</v>
      </c>
      <c r="C49" t="s">
        <v>26</v>
      </c>
      <c r="D49" t="s">
        <v>65</v>
      </c>
      <c r="E49" t="s">
        <v>25</v>
      </c>
      <c r="F49" s="3">
        <v>40704</v>
      </c>
      <c r="G49" t="s">
        <v>34</v>
      </c>
      <c r="H49">
        <v>6</v>
      </c>
      <c r="I49" s="3">
        <v>45357</v>
      </c>
      <c r="J49" t="s">
        <v>35</v>
      </c>
      <c r="K49" s="3">
        <v>45778</v>
      </c>
      <c r="L49">
        <f t="shared" ca="1" si="0"/>
        <v>14</v>
      </c>
      <c r="M49" s="3">
        <v>45908</v>
      </c>
      <c r="N49" s="3">
        <v>45657</v>
      </c>
      <c r="O49" s="3">
        <v>46188</v>
      </c>
      <c r="P49" s="3">
        <v>45336</v>
      </c>
      <c r="Q49" t="s">
        <v>35</v>
      </c>
      <c r="R49" s="3">
        <v>45336</v>
      </c>
      <c r="S49" t="s">
        <v>94</v>
      </c>
      <c r="T49">
        <v>21</v>
      </c>
      <c r="U49" t="s">
        <v>31</v>
      </c>
      <c r="V49">
        <v>0</v>
      </c>
    </row>
    <row r="50" spans="1:22" x14ac:dyDescent="0.3">
      <c r="A50">
        <v>10</v>
      </c>
      <c r="B50">
        <v>986</v>
      </c>
      <c r="C50" t="s">
        <v>40</v>
      </c>
      <c r="D50" t="s">
        <v>68</v>
      </c>
      <c r="E50" t="s">
        <v>42</v>
      </c>
      <c r="F50" s="3">
        <v>41319</v>
      </c>
      <c r="G50" t="s">
        <v>34</v>
      </c>
      <c r="H50">
        <v>4</v>
      </c>
      <c r="I50" s="3">
        <v>45205</v>
      </c>
      <c r="J50" t="s">
        <v>27</v>
      </c>
      <c r="K50" s="3">
        <v>45778</v>
      </c>
      <c r="L50">
        <f t="shared" ca="1" si="0"/>
        <v>13</v>
      </c>
      <c r="M50" s="3">
        <v>46088</v>
      </c>
      <c r="N50" s="3">
        <v>45505</v>
      </c>
      <c r="O50" s="3">
        <v>46368</v>
      </c>
      <c r="P50" s="3" t="s">
        <v>165</v>
      </c>
      <c r="Q50" t="s">
        <v>74</v>
      </c>
      <c r="R50" s="3">
        <v>45484</v>
      </c>
      <c r="S50" t="s">
        <v>138</v>
      </c>
      <c r="T50">
        <v>25</v>
      </c>
      <c r="U50" t="s">
        <v>45</v>
      </c>
      <c r="V50">
        <v>6.32258064516129</v>
      </c>
    </row>
    <row r="51" spans="1:22" x14ac:dyDescent="0.3">
      <c r="A51">
        <v>11</v>
      </c>
      <c r="B51">
        <v>30003</v>
      </c>
      <c r="C51" t="s">
        <v>23</v>
      </c>
      <c r="D51" t="s">
        <v>72</v>
      </c>
      <c r="E51" t="s">
        <v>42</v>
      </c>
      <c r="F51" s="3">
        <v>41428</v>
      </c>
      <c r="G51" t="s">
        <v>34</v>
      </c>
      <c r="H51">
        <v>6</v>
      </c>
      <c r="I51" s="3">
        <v>45324</v>
      </c>
      <c r="J51" t="s">
        <v>27</v>
      </c>
      <c r="K51" s="3">
        <v>45778</v>
      </c>
      <c r="L51">
        <f t="shared" ca="1" si="0"/>
        <v>12</v>
      </c>
      <c r="M51" s="3">
        <v>46088</v>
      </c>
      <c r="N51" s="3">
        <v>45624</v>
      </c>
      <c r="O51" s="3">
        <v>46368</v>
      </c>
      <c r="P51" s="3" t="s">
        <v>166</v>
      </c>
      <c r="Q51" t="s">
        <v>74</v>
      </c>
      <c r="R51" s="3">
        <v>45603</v>
      </c>
      <c r="S51" t="s">
        <v>138</v>
      </c>
      <c r="T51">
        <v>24</v>
      </c>
      <c r="U51" t="s">
        <v>45</v>
      </c>
      <c r="V51">
        <v>5</v>
      </c>
    </row>
    <row r="52" spans="1:22" x14ac:dyDescent="0.3">
      <c r="A52">
        <v>12</v>
      </c>
      <c r="B52">
        <v>30002</v>
      </c>
      <c r="C52" t="s">
        <v>23</v>
      </c>
      <c r="D52" t="s">
        <v>78</v>
      </c>
      <c r="E52" t="s">
        <v>25</v>
      </c>
      <c r="F52" s="3">
        <v>41826</v>
      </c>
      <c r="G52" t="s">
        <v>34</v>
      </c>
      <c r="H52">
        <v>4</v>
      </c>
      <c r="I52" s="3">
        <v>45606</v>
      </c>
      <c r="J52" t="s">
        <v>27</v>
      </c>
      <c r="K52" s="3">
        <v>45778</v>
      </c>
      <c r="L52">
        <f t="shared" ca="1" si="0"/>
        <v>11</v>
      </c>
      <c r="M52" s="3">
        <v>46088</v>
      </c>
      <c r="N52" s="3">
        <v>45906</v>
      </c>
      <c r="O52" s="3">
        <v>46368</v>
      </c>
      <c r="P52" s="3" t="s">
        <v>167</v>
      </c>
      <c r="Q52" t="s">
        <v>74</v>
      </c>
      <c r="R52" s="3">
        <v>45885</v>
      </c>
      <c r="S52" t="s">
        <v>138</v>
      </c>
      <c r="T52">
        <v>23</v>
      </c>
      <c r="U52" t="s">
        <v>45</v>
      </c>
      <c r="V52">
        <v>5.286516853932584</v>
      </c>
    </row>
    <row r="53" spans="1:22" x14ac:dyDescent="0.3">
      <c r="A53">
        <v>13</v>
      </c>
      <c r="B53">
        <v>907</v>
      </c>
      <c r="C53" t="s">
        <v>40</v>
      </c>
      <c r="D53" t="s">
        <v>81</v>
      </c>
      <c r="E53" t="s">
        <v>42</v>
      </c>
      <c r="F53" s="3">
        <v>41431</v>
      </c>
      <c r="G53" t="s">
        <v>34</v>
      </c>
      <c r="H53">
        <v>3</v>
      </c>
      <c r="I53" s="3">
        <v>45232</v>
      </c>
      <c r="J53" t="s">
        <v>27</v>
      </c>
      <c r="K53" s="3">
        <v>45778</v>
      </c>
      <c r="L53">
        <f t="shared" ca="1" si="0"/>
        <v>12</v>
      </c>
      <c r="M53" s="3">
        <v>46058</v>
      </c>
      <c r="N53" s="3">
        <v>45532</v>
      </c>
      <c r="O53" s="3">
        <v>46338</v>
      </c>
      <c r="P53" s="3">
        <v>45056</v>
      </c>
      <c r="Q53" t="s">
        <v>27</v>
      </c>
      <c r="R53" s="3">
        <v>45511</v>
      </c>
      <c r="S53" t="s">
        <v>30</v>
      </c>
      <c r="T53">
        <v>18</v>
      </c>
      <c r="U53" t="s">
        <v>45</v>
      </c>
      <c r="V53">
        <v>0</v>
      </c>
    </row>
    <row r="54" spans="1:22" x14ac:dyDescent="0.3">
      <c r="A54">
        <v>14</v>
      </c>
      <c r="B54">
        <v>2810</v>
      </c>
      <c r="C54" t="s">
        <v>26</v>
      </c>
      <c r="D54" t="s">
        <v>85</v>
      </c>
      <c r="E54" t="s">
        <v>25</v>
      </c>
      <c r="F54" s="3">
        <v>43128</v>
      </c>
      <c r="G54" t="s">
        <v>34</v>
      </c>
      <c r="H54">
        <v>2</v>
      </c>
      <c r="I54" s="3">
        <v>45303</v>
      </c>
      <c r="J54" t="s">
        <v>35</v>
      </c>
      <c r="K54" s="3">
        <v>45778</v>
      </c>
      <c r="L54">
        <f t="shared" ca="1" si="0"/>
        <v>8</v>
      </c>
      <c r="M54" s="3">
        <v>45923</v>
      </c>
      <c r="N54" s="3">
        <v>45603</v>
      </c>
      <c r="O54" s="3">
        <v>46203</v>
      </c>
      <c r="P54" s="3">
        <v>45282</v>
      </c>
      <c r="Q54" t="s">
        <v>35</v>
      </c>
      <c r="R54" s="3">
        <v>45282</v>
      </c>
      <c r="S54" t="s">
        <v>94</v>
      </c>
      <c r="T54">
        <v>21</v>
      </c>
      <c r="U54" t="s">
        <v>31</v>
      </c>
      <c r="V54">
        <v>201.5</v>
      </c>
    </row>
    <row r="55" spans="1:22" x14ac:dyDescent="0.3">
      <c r="A55">
        <v>15</v>
      </c>
      <c r="B55" t="s">
        <v>264</v>
      </c>
      <c r="C55" t="s">
        <v>26</v>
      </c>
      <c r="D55" t="s">
        <v>89</v>
      </c>
      <c r="E55" t="s">
        <v>25</v>
      </c>
      <c r="F55" s="3">
        <v>42751</v>
      </c>
      <c r="G55" t="s">
        <v>26</v>
      </c>
      <c r="H55">
        <v>4</v>
      </c>
      <c r="I55" s="3">
        <v>45712</v>
      </c>
      <c r="J55" t="s">
        <v>27</v>
      </c>
      <c r="K55" s="3">
        <v>45778</v>
      </c>
      <c r="L55">
        <f t="shared" ref="L55" ca="1" si="1">DATEDIF(F55, TODAY(), "Y")</f>
        <v>9</v>
      </c>
      <c r="M55" s="3">
        <v>46088</v>
      </c>
      <c r="N55" s="3">
        <v>46012</v>
      </c>
      <c r="O55" s="3">
        <v>46368</v>
      </c>
      <c r="P55" s="3" t="s">
        <v>168</v>
      </c>
      <c r="Q55" t="s">
        <v>74</v>
      </c>
      <c r="R55" s="3">
        <v>45991</v>
      </c>
      <c r="S55" t="s">
        <v>138</v>
      </c>
      <c r="T55">
        <v>24</v>
      </c>
      <c r="U55" t="s">
        <v>45</v>
      </c>
      <c r="V55">
        <v>135</v>
      </c>
    </row>
    <row r="56" spans="1:22" x14ac:dyDescent="0.3">
      <c r="A56">
        <v>18</v>
      </c>
      <c r="B56">
        <v>1380</v>
      </c>
      <c r="C56" t="s">
        <v>26</v>
      </c>
      <c r="D56" t="s">
        <v>98</v>
      </c>
      <c r="E56" t="s">
        <v>42</v>
      </c>
      <c r="F56" s="3">
        <v>40909</v>
      </c>
      <c r="G56" t="s">
        <v>26</v>
      </c>
      <c r="H56">
        <v>5</v>
      </c>
      <c r="I56" s="3">
        <v>45603</v>
      </c>
      <c r="J56" t="s">
        <v>27</v>
      </c>
      <c r="K56" s="3">
        <v>45778</v>
      </c>
      <c r="L56">
        <f t="shared" ref="L56:L102" ca="1" si="2">DATEDIF(F56, TODAY(), "Y")</f>
        <v>14</v>
      </c>
      <c r="M56" s="3">
        <v>46088</v>
      </c>
      <c r="N56" s="3">
        <v>45903</v>
      </c>
      <c r="O56" s="3">
        <v>45883</v>
      </c>
      <c r="P56" s="3" t="s">
        <v>169</v>
      </c>
      <c r="Q56" t="s">
        <v>74</v>
      </c>
      <c r="R56" s="3">
        <v>45878</v>
      </c>
      <c r="S56" t="s">
        <v>75</v>
      </c>
      <c r="T56">
        <v>23</v>
      </c>
      <c r="U56" t="s">
        <v>45</v>
      </c>
      <c r="V56">
        <v>0</v>
      </c>
    </row>
    <row r="57" spans="1:22" x14ac:dyDescent="0.3">
      <c r="A57">
        <v>19</v>
      </c>
      <c r="B57" t="s">
        <v>100</v>
      </c>
      <c r="C57" t="s">
        <v>26</v>
      </c>
      <c r="D57" t="s">
        <v>101</v>
      </c>
      <c r="E57" t="s">
        <v>42</v>
      </c>
      <c r="F57" s="3">
        <v>42912</v>
      </c>
      <c r="G57" t="s">
        <v>26</v>
      </c>
      <c r="H57">
        <v>2</v>
      </c>
      <c r="I57" s="3">
        <v>45595</v>
      </c>
      <c r="J57" t="s">
        <v>27</v>
      </c>
      <c r="K57" s="3">
        <v>45778</v>
      </c>
      <c r="L57">
        <f t="shared" ca="1" si="2"/>
        <v>8</v>
      </c>
      <c r="M57" s="3">
        <v>46088</v>
      </c>
      <c r="N57" s="3">
        <v>45895</v>
      </c>
      <c r="O57" s="3">
        <v>45875</v>
      </c>
      <c r="P57" s="3" t="s">
        <v>170</v>
      </c>
      <c r="Q57" t="s">
        <v>74</v>
      </c>
      <c r="R57" s="3">
        <v>45874</v>
      </c>
      <c r="S57" t="s">
        <v>138</v>
      </c>
      <c r="T57">
        <v>24</v>
      </c>
      <c r="U57" t="s">
        <v>45</v>
      </c>
      <c r="V57">
        <v>0</v>
      </c>
    </row>
    <row r="58" spans="1:22" x14ac:dyDescent="0.3">
      <c r="A58">
        <v>21</v>
      </c>
      <c r="B58">
        <v>1158</v>
      </c>
      <c r="C58" t="s">
        <v>26</v>
      </c>
      <c r="D58" t="s">
        <v>106</v>
      </c>
      <c r="E58" t="s">
        <v>25</v>
      </c>
      <c r="F58" s="3">
        <v>40544</v>
      </c>
      <c r="G58" t="s">
        <v>26</v>
      </c>
      <c r="H58">
        <v>6</v>
      </c>
      <c r="I58" s="3">
        <v>45638</v>
      </c>
      <c r="J58" t="s">
        <v>27</v>
      </c>
      <c r="K58" s="3">
        <v>45700</v>
      </c>
      <c r="L58">
        <f t="shared" ca="1" si="2"/>
        <v>15</v>
      </c>
      <c r="M58" s="3">
        <v>46088</v>
      </c>
      <c r="N58" s="3">
        <v>45938</v>
      </c>
      <c r="O58" s="3">
        <v>45918</v>
      </c>
      <c r="P58" s="3" t="s">
        <v>171</v>
      </c>
      <c r="Q58" t="s">
        <v>74</v>
      </c>
      <c r="R58" s="3">
        <v>45917</v>
      </c>
      <c r="S58" t="s">
        <v>138</v>
      </c>
      <c r="T58">
        <v>24</v>
      </c>
      <c r="U58" t="s">
        <v>45</v>
      </c>
      <c r="V58">
        <v>165</v>
      </c>
    </row>
    <row r="59" spans="1:22" x14ac:dyDescent="0.3">
      <c r="A59">
        <v>22</v>
      </c>
      <c r="B59" t="s">
        <v>267</v>
      </c>
      <c r="C59" t="s">
        <v>26</v>
      </c>
      <c r="D59" t="s">
        <v>109</v>
      </c>
      <c r="E59" t="s">
        <v>25</v>
      </c>
      <c r="F59" s="3">
        <v>43112</v>
      </c>
      <c r="G59" t="s">
        <v>26</v>
      </c>
      <c r="H59">
        <v>2</v>
      </c>
      <c r="I59" s="3">
        <v>45626</v>
      </c>
      <c r="J59" t="s">
        <v>27</v>
      </c>
      <c r="K59" s="3">
        <v>45778</v>
      </c>
      <c r="L59">
        <f t="shared" ca="1" si="2"/>
        <v>8</v>
      </c>
      <c r="M59" s="3">
        <v>46088</v>
      </c>
      <c r="N59" s="3">
        <v>45926</v>
      </c>
      <c r="O59" s="3">
        <v>45906</v>
      </c>
      <c r="P59" s="3" t="s">
        <v>167</v>
      </c>
      <c r="Q59" t="s">
        <v>74</v>
      </c>
      <c r="R59" s="3">
        <v>45905</v>
      </c>
      <c r="S59" t="s">
        <v>138</v>
      </c>
      <c r="T59">
        <v>23</v>
      </c>
      <c r="U59" t="s">
        <v>45</v>
      </c>
      <c r="V59">
        <v>0</v>
      </c>
    </row>
    <row r="60" spans="1:22" x14ac:dyDescent="0.3">
      <c r="A60">
        <v>23</v>
      </c>
      <c r="B60">
        <v>651</v>
      </c>
      <c r="C60" t="s">
        <v>40</v>
      </c>
      <c r="D60" t="s">
        <v>111</v>
      </c>
      <c r="E60" t="s">
        <v>42</v>
      </c>
      <c r="F60" s="3">
        <v>39094</v>
      </c>
      <c r="G60" t="s">
        <v>34</v>
      </c>
      <c r="H60">
        <v>6</v>
      </c>
      <c r="I60" s="3">
        <v>45432</v>
      </c>
      <c r="J60" t="s">
        <v>27</v>
      </c>
      <c r="K60" s="3">
        <v>45778</v>
      </c>
      <c r="L60">
        <f t="shared" ca="1" si="2"/>
        <v>19</v>
      </c>
      <c r="M60" s="3">
        <v>46088</v>
      </c>
      <c r="N60" s="3">
        <v>45732</v>
      </c>
      <c r="O60" s="3">
        <v>45712</v>
      </c>
      <c r="P60" s="3" t="s">
        <v>172</v>
      </c>
      <c r="Q60" t="s">
        <v>74</v>
      </c>
      <c r="R60" s="3">
        <v>45710</v>
      </c>
      <c r="S60" t="s">
        <v>75</v>
      </c>
      <c r="T60" t="s">
        <v>76</v>
      </c>
      <c r="U60" t="s">
        <v>45</v>
      </c>
      <c r="V60">
        <v>7</v>
      </c>
    </row>
    <row r="61" spans="1:22" x14ac:dyDescent="0.3">
      <c r="A61">
        <v>25</v>
      </c>
      <c r="B61">
        <v>13003</v>
      </c>
      <c r="C61" t="s">
        <v>40</v>
      </c>
      <c r="D61" t="s">
        <v>116</v>
      </c>
      <c r="E61" t="s">
        <v>42</v>
      </c>
      <c r="F61" s="3">
        <v>41010</v>
      </c>
      <c r="G61" t="s">
        <v>26</v>
      </c>
      <c r="H61">
        <v>6</v>
      </c>
      <c r="I61" s="3">
        <v>45598</v>
      </c>
      <c r="J61" t="s">
        <v>27</v>
      </c>
      <c r="K61" s="3">
        <v>45778</v>
      </c>
      <c r="L61">
        <f t="shared" ca="1" si="2"/>
        <v>13</v>
      </c>
      <c r="M61" s="3">
        <v>46088</v>
      </c>
      <c r="N61" s="3">
        <v>45898</v>
      </c>
      <c r="O61" s="3">
        <v>45878</v>
      </c>
      <c r="P61" s="3">
        <v>45598</v>
      </c>
      <c r="Q61" t="s">
        <v>27</v>
      </c>
      <c r="R61" s="3">
        <v>45598</v>
      </c>
      <c r="S61" t="s">
        <v>30</v>
      </c>
      <c r="T61">
        <v>21</v>
      </c>
      <c r="U61" t="s">
        <v>31</v>
      </c>
      <c r="V61">
        <v>6.6428571428571432</v>
      </c>
    </row>
    <row r="62" spans="1:22" x14ac:dyDescent="0.3">
      <c r="A62">
        <v>27</v>
      </c>
      <c r="B62" t="s">
        <v>117</v>
      </c>
      <c r="C62" t="s">
        <v>26</v>
      </c>
      <c r="D62" t="s">
        <v>118</v>
      </c>
      <c r="E62" t="s">
        <v>25</v>
      </c>
      <c r="F62" s="3">
        <v>42748</v>
      </c>
      <c r="G62" t="s">
        <v>26</v>
      </c>
      <c r="H62">
        <v>2</v>
      </c>
      <c r="I62" s="3">
        <v>45625</v>
      </c>
      <c r="J62" t="s">
        <v>27</v>
      </c>
      <c r="K62" s="3">
        <v>45778</v>
      </c>
      <c r="L62">
        <f t="shared" ca="1" si="2"/>
        <v>9</v>
      </c>
      <c r="M62" s="3">
        <v>46088</v>
      </c>
      <c r="N62" s="3">
        <v>45925</v>
      </c>
      <c r="O62" s="3">
        <v>45905</v>
      </c>
      <c r="P62" s="3">
        <v>45625</v>
      </c>
      <c r="Q62" t="s">
        <v>27</v>
      </c>
      <c r="R62" s="3">
        <v>45625</v>
      </c>
      <c r="S62" t="s">
        <v>94</v>
      </c>
      <c r="T62">
        <v>21</v>
      </c>
      <c r="U62" t="s">
        <v>31</v>
      </c>
      <c r="V62">
        <v>6.5</v>
      </c>
    </row>
    <row r="63" spans="1:22" x14ac:dyDescent="0.3">
      <c r="A63">
        <v>28</v>
      </c>
      <c r="B63" t="s">
        <v>119</v>
      </c>
      <c r="C63" t="s">
        <v>26</v>
      </c>
      <c r="D63" t="s">
        <v>173</v>
      </c>
      <c r="E63" t="s">
        <v>25</v>
      </c>
      <c r="F63" s="3">
        <v>43099</v>
      </c>
      <c r="G63" t="s">
        <v>34</v>
      </c>
      <c r="H63">
        <v>1</v>
      </c>
      <c r="I63" s="3">
        <v>45009</v>
      </c>
      <c r="J63" t="s">
        <v>27</v>
      </c>
      <c r="K63" s="3">
        <v>45778</v>
      </c>
      <c r="L63">
        <f t="shared" ca="1" si="2"/>
        <v>8</v>
      </c>
      <c r="M63" s="3">
        <v>46058</v>
      </c>
      <c r="N63" s="3">
        <v>45309</v>
      </c>
      <c r="O63" s="3">
        <v>45289</v>
      </c>
      <c r="P63" s="3">
        <v>45009</v>
      </c>
      <c r="Q63" t="s">
        <v>27</v>
      </c>
      <c r="R63" s="3">
        <v>45009</v>
      </c>
      <c r="S63" t="s">
        <v>94</v>
      </c>
      <c r="T63">
        <v>21</v>
      </c>
      <c r="U63" t="s">
        <v>45</v>
      </c>
      <c r="V63">
        <v>0</v>
      </c>
    </row>
    <row r="64" spans="1:22" x14ac:dyDescent="0.3">
      <c r="A64">
        <v>29</v>
      </c>
      <c r="B64" t="s">
        <v>270</v>
      </c>
      <c r="C64" t="s">
        <v>26</v>
      </c>
      <c r="D64" t="s">
        <v>121</v>
      </c>
      <c r="E64" t="s">
        <v>25</v>
      </c>
      <c r="F64" s="3">
        <v>43140</v>
      </c>
      <c r="G64" t="s">
        <v>34</v>
      </c>
      <c r="H64">
        <v>1</v>
      </c>
      <c r="I64" s="3">
        <v>45012</v>
      </c>
      <c r="J64" t="s">
        <v>27</v>
      </c>
      <c r="K64" s="3">
        <v>45778</v>
      </c>
      <c r="L64">
        <f t="shared" ca="1" si="2"/>
        <v>8</v>
      </c>
      <c r="M64" s="3">
        <v>46058</v>
      </c>
      <c r="N64" s="3">
        <v>45312</v>
      </c>
      <c r="O64" s="3">
        <v>45292</v>
      </c>
      <c r="P64" s="3">
        <v>45012</v>
      </c>
      <c r="Q64" t="s">
        <v>27</v>
      </c>
      <c r="R64" s="3">
        <v>45012</v>
      </c>
      <c r="S64" t="s">
        <v>30</v>
      </c>
      <c r="T64">
        <v>21</v>
      </c>
      <c r="U64" t="s">
        <v>45</v>
      </c>
      <c r="V64">
        <v>0</v>
      </c>
    </row>
    <row r="65" spans="1:22" x14ac:dyDescent="0.3">
      <c r="A65">
        <v>30</v>
      </c>
      <c r="B65" t="s">
        <v>273</v>
      </c>
      <c r="C65" t="s">
        <v>26</v>
      </c>
      <c r="D65" t="s">
        <v>123</v>
      </c>
      <c r="E65" t="s">
        <v>25</v>
      </c>
      <c r="F65" s="3">
        <v>43141</v>
      </c>
      <c r="G65" t="s">
        <v>26</v>
      </c>
      <c r="H65">
        <v>2</v>
      </c>
      <c r="I65" s="3">
        <v>45604</v>
      </c>
      <c r="J65" t="s">
        <v>27</v>
      </c>
      <c r="K65" s="3">
        <v>45778</v>
      </c>
      <c r="L65">
        <f t="shared" ca="1" si="2"/>
        <v>8</v>
      </c>
      <c r="M65" s="3">
        <v>46088</v>
      </c>
      <c r="N65" s="3">
        <v>45904</v>
      </c>
      <c r="O65" s="3">
        <v>45884</v>
      </c>
      <c r="P65" s="3">
        <v>45604</v>
      </c>
      <c r="Q65" t="s">
        <v>27</v>
      </c>
      <c r="R65" s="3">
        <v>45604</v>
      </c>
      <c r="S65" t="s">
        <v>30</v>
      </c>
      <c r="T65">
        <v>21</v>
      </c>
      <c r="U65" t="s">
        <v>31</v>
      </c>
      <c r="V65">
        <v>2.5</v>
      </c>
    </row>
    <row r="66" spans="1:22" x14ac:dyDescent="0.3">
      <c r="A66">
        <v>31</v>
      </c>
      <c r="B66">
        <v>24012</v>
      </c>
      <c r="C66" t="s">
        <v>40</v>
      </c>
      <c r="D66" t="s">
        <v>125</v>
      </c>
      <c r="E66" t="s">
        <v>42</v>
      </c>
      <c r="F66" s="3">
        <v>41761</v>
      </c>
      <c r="G66" t="s">
        <v>26</v>
      </c>
      <c r="H66">
        <v>4</v>
      </c>
      <c r="I66" s="3">
        <v>45626</v>
      </c>
      <c r="J66" t="s">
        <v>27</v>
      </c>
      <c r="K66" s="3">
        <v>45778</v>
      </c>
      <c r="L66">
        <f t="shared" ca="1" si="2"/>
        <v>11</v>
      </c>
      <c r="M66" s="3">
        <v>46088</v>
      </c>
      <c r="N66" s="3">
        <v>45926</v>
      </c>
      <c r="O66" s="3">
        <v>45906</v>
      </c>
      <c r="P66" s="3">
        <v>45626</v>
      </c>
      <c r="Q66" t="s">
        <v>27</v>
      </c>
      <c r="R66" s="3">
        <v>45626</v>
      </c>
      <c r="S66" t="s">
        <v>94</v>
      </c>
      <c r="T66">
        <v>21</v>
      </c>
      <c r="U66" t="s">
        <v>31</v>
      </c>
      <c r="V66">
        <v>60</v>
      </c>
    </row>
    <row r="67" spans="1:22" x14ac:dyDescent="0.3">
      <c r="A67">
        <v>32</v>
      </c>
      <c r="B67">
        <v>22064</v>
      </c>
      <c r="C67" t="s">
        <v>40</v>
      </c>
      <c r="D67" t="s">
        <v>128</v>
      </c>
      <c r="E67" t="s">
        <v>42</v>
      </c>
      <c r="F67" s="3">
        <v>41255</v>
      </c>
      <c r="G67" t="s">
        <v>26</v>
      </c>
      <c r="H67">
        <v>5</v>
      </c>
      <c r="I67" s="3">
        <v>45600</v>
      </c>
      <c r="J67" t="s">
        <v>27</v>
      </c>
      <c r="K67" s="3">
        <v>45778</v>
      </c>
      <c r="L67">
        <f t="shared" ca="1" si="2"/>
        <v>13</v>
      </c>
      <c r="M67" s="3">
        <v>46088</v>
      </c>
      <c r="N67" s="3">
        <v>45900</v>
      </c>
      <c r="O67" s="3">
        <v>45880</v>
      </c>
      <c r="P67" s="3">
        <v>45600</v>
      </c>
      <c r="Q67" t="s">
        <v>27</v>
      </c>
      <c r="R67" s="3">
        <v>45600</v>
      </c>
      <c r="S67" t="s">
        <v>30</v>
      </c>
      <c r="T67">
        <v>21</v>
      </c>
      <c r="U67" t="s">
        <v>31</v>
      </c>
      <c r="V67">
        <v>7260</v>
      </c>
    </row>
    <row r="68" spans="1:22" x14ac:dyDescent="0.3">
      <c r="A68">
        <v>33</v>
      </c>
      <c r="B68">
        <v>1779</v>
      </c>
      <c r="C68" t="s">
        <v>40</v>
      </c>
      <c r="D68" t="s">
        <v>130</v>
      </c>
      <c r="E68" t="s">
        <v>42</v>
      </c>
      <c r="F68" s="3">
        <v>43166</v>
      </c>
      <c r="G68" t="s">
        <v>34</v>
      </c>
      <c r="H68">
        <v>1</v>
      </c>
      <c r="I68" s="3">
        <v>45034</v>
      </c>
      <c r="J68" t="s">
        <v>35</v>
      </c>
      <c r="K68" s="3">
        <v>45778</v>
      </c>
      <c r="L68">
        <f t="shared" ca="1" si="2"/>
        <v>7</v>
      </c>
      <c r="M68" s="3">
        <v>46043</v>
      </c>
      <c r="N68" s="3">
        <v>45334</v>
      </c>
      <c r="O68" s="3">
        <v>45314</v>
      </c>
      <c r="P68" s="3">
        <v>45034</v>
      </c>
      <c r="Q68" t="s">
        <v>35</v>
      </c>
      <c r="R68" s="3">
        <v>45034</v>
      </c>
      <c r="S68" t="s">
        <v>94</v>
      </c>
      <c r="T68">
        <v>21</v>
      </c>
      <c r="U68" t="s">
        <v>45</v>
      </c>
      <c r="V68">
        <v>6.7166666666666668</v>
      </c>
    </row>
    <row r="69" spans="1:22" x14ac:dyDescent="0.3">
      <c r="A69">
        <v>34</v>
      </c>
      <c r="B69">
        <v>22062</v>
      </c>
      <c r="C69" t="s">
        <v>40</v>
      </c>
      <c r="D69" t="s">
        <v>132</v>
      </c>
      <c r="E69" t="s">
        <v>25</v>
      </c>
      <c r="F69" s="3">
        <v>41246</v>
      </c>
      <c r="G69" t="s">
        <v>26</v>
      </c>
      <c r="H69">
        <v>6</v>
      </c>
      <c r="I69" s="3">
        <v>45626</v>
      </c>
      <c r="J69" t="s">
        <v>27</v>
      </c>
      <c r="K69" s="3">
        <v>45778</v>
      </c>
      <c r="L69">
        <f t="shared" ca="1" si="2"/>
        <v>13</v>
      </c>
      <c r="M69" s="3">
        <v>46088</v>
      </c>
      <c r="N69" s="3">
        <v>45926</v>
      </c>
      <c r="O69" s="3">
        <v>45906</v>
      </c>
      <c r="P69" s="3">
        <v>45626</v>
      </c>
      <c r="Q69" t="s">
        <v>27</v>
      </c>
      <c r="R69" s="3">
        <v>45626</v>
      </c>
      <c r="S69" t="s">
        <v>30</v>
      </c>
      <c r="T69">
        <v>21</v>
      </c>
      <c r="U69" t="s">
        <v>31</v>
      </c>
      <c r="V69">
        <v>139.5</v>
      </c>
    </row>
    <row r="70" spans="1:22" x14ac:dyDescent="0.3">
      <c r="A70">
        <v>35</v>
      </c>
      <c r="B70" t="s">
        <v>276</v>
      </c>
      <c r="C70" t="s">
        <v>26</v>
      </c>
      <c r="D70" t="s">
        <v>135</v>
      </c>
      <c r="E70" t="s">
        <v>25</v>
      </c>
      <c r="F70" s="3">
        <v>42739</v>
      </c>
      <c r="G70" t="s">
        <v>26</v>
      </c>
      <c r="H70">
        <v>2</v>
      </c>
      <c r="I70" s="3">
        <v>45626</v>
      </c>
      <c r="J70" t="s">
        <v>35</v>
      </c>
      <c r="K70" s="3">
        <v>45778</v>
      </c>
      <c r="L70">
        <f t="shared" ca="1" si="2"/>
        <v>9</v>
      </c>
      <c r="M70" s="3">
        <v>46028</v>
      </c>
      <c r="N70" s="3">
        <v>45926</v>
      </c>
      <c r="O70" s="3">
        <v>45906</v>
      </c>
      <c r="P70" s="3">
        <v>45626</v>
      </c>
      <c r="Q70" t="s">
        <v>35</v>
      </c>
      <c r="R70" s="3">
        <v>45626</v>
      </c>
      <c r="S70" t="s">
        <v>94</v>
      </c>
      <c r="T70">
        <v>21</v>
      </c>
      <c r="U70" t="s">
        <v>31</v>
      </c>
      <c r="V70">
        <v>0</v>
      </c>
    </row>
    <row r="71" spans="1:22" x14ac:dyDescent="0.3">
      <c r="A71">
        <v>36</v>
      </c>
      <c r="B71">
        <v>2807</v>
      </c>
      <c r="C71" t="s">
        <v>26</v>
      </c>
      <c r="D71" t="s">
        <v>136</v>
      </c>
      <c r="E71" t="s">
        <v>42</v>
      </c>
      <c r="F71" s="3">
        <v>43118</v>
      </c>
      <c r="G71" t="s">
        <v>26</v>
      </c>
      <c r="H71">
        <v>3</v>
      </c>
      <c r="I71" s="3">
        <v>45626</v>
      </c>
      <c r="J71" t="s">
        <v>27</v>
      </c>
      <c r="K71" s="3">
        <v>45778</v>
      </c>
      <c r="L71">
        <f t="shared" ca="1" si="2"/>
        <v>8</v>
      </c>
      <c r="M71" s="3">
        <v>46088</v>
      </c>
      <c r="N71" s="3">
        <v>45926</v>
      </c>
      <c r="O71" s="3">
        <v>45906</v>
      </c>
      <c r="P71" s="3">
        <v>45626</v>
      </c>
      <c r="Q71" t="s">
        <v>27</v>
      </c>
      <c r="R71" s="3">
        <v>45626</v>
      </c>
      <c r="S71" t="s">
        <v>30</v>
      </c>
      <c r="T71">
        <v>21</v>
      </c>
      <c r="U71" t="s">
        <v>31</v>
      </c>
      <c r="V71">
        <v>4.5</v>
      </c>
    </row>
    <row r="72" spans="1:22" x14ac:dyDescent="0.3">
      <c r="A72">
        <v>38</v>
      </c>
      <c r="B72" t="s">
        <v>279</v>
      </c>
      <c r="C72" t="s">
        <v>26</v>
      </c>
      <c r="D72" t="s">
        <v>140</v>
      </c>
      <c r="E72" t="s">
        <v>42</v>
      </c>
      <c r="F72" s="3">
        <v>43142</v>
      </c>
      <c r="G72" t="s">
        <v>26</v>
      </c>
      <c r="H72">
        <v>2</v>
      </c>
      <c r="I72" s="3">
        <v>45609</v>
      </c>
      <c r="J72" t="s">
        <v>27</v>
      </c>
      <c r="K72" s="3">
        <v>45778</v>
      </c>
      <c r="L72">
        <f t="shared" ca="1" si="2"/>
        <v>8</v>
      </c>
      <c r="M72" s="3">
        <v>46088</v>
      </c>
      <c r="N72" s="3">
        <v>45909</v>
      </c>
      <c r="O72" s="3">
        <v>45889</v>
      </c>
      <c r="P72" s="3">
        <v>45609</v>
      </c>
      <c r="Q72" t="s">
        <v>27</v>
      </c>
      <c r="R72" s="3">
        <v>45609</v>
      </c>
      <c r="S72" t="s">
        <v>30</v>
      </c>
      <c r="T72">
        <v>21</v>
      </c>
      <c r="U72" t="s">
        <v>31</v>
      </c>
      <c r="V72">
        <v>217</v>
      </c>
    </row>
    <row r="73" spans="1:22" x14ac:dyDescent="0.3">
      <c r="A73">
        <v>39</v>
      </c>
      <c r="B73">
        <v>880</v>
      </c>
      <c r="C73" t="s">
        <v>40</v>
      </c>
      <c r="D73" t="s">
        <v>143</v>
      </c>
      <c r="E73" t="s">
        <v>42</v>
      </c>
      <c r="F73" s="3">
        <v>43178</v>
      </c>
      <c r="G73" t="s">
        <v>34</v>
      </c>
      <c r="H73">
        <v>1</v>
      </c>
      <c r="I73" s="3">
        <v>45339</v>
      </c>
      <c r="J73" t="s">
        <v>35</v>
      </c>
      <c r="K73" s="3">
        <v>45778</v>
      </c>
      <c r="L73">
        <f t="shared" ca="1" si="2"/>
        <v>7</v>
      </c>
      <c r="M73" s="3">
        <v>45938</v>
      </c>
      <c r="N73" s="3">
        <v>45639</v>
      </c>
      <c r="O73" s="3">
        <v>45619</v>
      </c>
      <c r="P73" s="3">
        <v>45339</v>
      </c>
      <c r="Q73" t="s">
        <v>35</v>
      </c>
      <c r="R73" s="3">
        <v>45339</v>
      </c>
      <c r="S73" t="s">
        <v>94</v>
      </c>
      <c r="T73">
        <v>21</v>
      </c>
      <c r="U73" t="s">
        <v>31</v>
      </c>
      <c r="V73">
        <v>150</v>
      </c>
    </row>
    <row r="74" spans="1:22" x14ac:dyDescent="0.3">
      <c r="A74">
        <v>43</v>
      </c>
      <c r="B74">
        <v>84</v>
      </c>
      <c r="C74" t="s">
        <v>145</v>
      </c>
      <c r="D74" t="s">
        <v>146</v>
      </c>
      <c r="E74" t="s">
        <v>42</v>
      </c>
      <c r="F74" s="3">
        <v>43171</v>
      </c>
      <c r="G74" t="s">
        <v>34</v>
      </c>
      <c r="H74">
        <v>3</v>
      </c>
      <c r="I74" s="3">
        <v>45656</v>
      </c>
      <c r="J74" t="s">
        <v>27</v>
      </c>
      <c r="K74" s="3">
        <v>45778</v>
      </c>
      <c r="L74">
        <f t="shared" ca="1" si="2"/>
        <v>7</v>
      </c>
      <c r="M74" s="3">
        <v>46088</v>
      </c>
      <c r="N74" s="3">
        <v>45956</v>
      </c>
      <c r="O74" s="3">
        <v>45620</v>
      </c>
      <c r="P74" s="3">
        <v>45656</v>
      </c>
      <c r="Q74" t="s">
        <v>27</v>
      </c>
      <c r="R74" s="3">
        <v>45656</v>
      </c>
      <c r="S74" t="s">
        <v>30</v>
      </c>
      <c r="T74">
        <v>21</v>
      </c>
      <c r="U74" t="s">
        <v>31</v>
      </c>
      <c r="V74">
        <v>210</v>
      </c>
    </row>
    <row r="75" spans="1:22" x14ac:dyDescent="0.3">
      <c r="A75">
        <v>45</v>
      </c>
      <c r="B75">
        <v>899</v>
      </c>
      <c r="C75" t="s">
        <v>40</v>
      </c>
      <c r="D75" t="s">
        <v>148</v>
      </c>
      <c r="E75" t="s">
        <v>25</v>
      </c>
      <c r="F75" s="3">
        <v>43559</v>
      </c>
      <c r="G75" t="s">
        <v>34</v>
      </c>
      <c r="H75">
        <v>1</v>
      </c>
      <c r="I75" s="3">
        <v>45427</v>
      </c>
      <c r="J75" t="s">
        <v>27</v>
      </c>
      <c r="K75" s="3">
        <v>45778</v>
      </c>
      <c r="L75">
        <f t="shared" ca="1" si="2"/>
        <v>6</v>
      </c>
      <c r="M75" s="3">
        <v>46088</v>
      </c>
      <c r="N75" s="3">
        <v>45727</v>
      </c>
      <c r="O75" s="3">
        <v>45621</v>
      </c>
      <c r="P75" s="3">
        <v>45427</v>
      </c>
      <c r="Q75" t="s">
        <v>27</v>
      </c>
      <c r="R75" s="3">
        <v>45427</v>
      </c>
      <c r="S75" t="s">
        <v>30</v>
      </c>
      <c r="T75">
        <v>21</v>
      </c>
      <c r="U75" t="s">
        <v>31</v>
      </c>
      <c r="V75">
        <v>2</v>
      </c>
    </row>
    <row r="76" spans="1:22" x14ac:dyDescent="0.3">
      <c r="A76">
        <v>47</v>
      </c>
      <c r="B76">
        <v>700002</v>
      </c>
      <c r="C76" t="s">
        <v>150</v>
      </c>
      <c r="D76" t="s">
        <v>151</v>
      </c>
      <c r="E76" t="s">
        <v>152</v>
      </c>
      <c r="F76" s="3">
        <v>43559</v>
      </c>
      <c r="G76" t="s">
        <v>26</v>
      </c>
      <c r="H76">
        <v>2</v>
      </c>
      <c r="I76" s="3">
        <v>45673</v>
      </c>
      <c r="J76" t="s">
        <v>27</v>
      </c>
      <c r="K76" s="3">
        <v>45778</v>
      </c>
      <c r="L76">
        <f t="shared" ca="1" si="2"/>
        <v>6</v>
      </c>
      <c r="M76" s="3">
        <v>46088</v>
      </c>
      <c r="N76" s="3">
        <v>45973</v>
      </c>
      <c r="O76" s="3">
        <v>45622</v>
      </c>
      <c r="P76" s="3">
        <v>45673</v>
      </c>
      <c r="Q76" t="s">
        <v>27</v>
      </c>
      <c r="R76" s="3">
        <v>45673</v>
      </c>
      <c r="S76" t="s">
        <v>94</v>
      </c>
      <c r="T76">
        <v>21</v>
      </c>
      <c r="U76" t="s">
        <v>31</v>
      </c>
      <c r="V76">
        <v>0</v>
      </c>
    </row>
    <row r="77" spans="1:22" x14ac:dyDescent="0.3">
      <c r="A77">
        <v>49</v>
      </c>
      <c r="B77">
        <v>700004</v>
      </c>
      <c r="C77" t="s">
        <v>150</v>
      </c>
      <c r="D77" t="s">
        <v>155</v>
      </c>
      <c r="E77" t="s">
        <v>152</v>
      </c>
      <c r="F77" s="3">
        <v>43561</v>
      </c>
      <c r="G77" t="s">
        <v>26</v>
      </c>
      <c r="H77">
        <v>2</v>
      </c>
      <c r="I77" s="3">
        <v>45573</v>
      </c>
      <c r="J77" t="s">
        <v>35</v>
      </c>
      <c r="K77" s="3">
        <v>45778</v>
      </c>
      <c r="L77">
        <f t="shared" ca="1" si="2"/>
        <v>6</v>
      </c>
      <c r="M77" s="3">
        <v>45998</v>
      </c>
      <c r="N77" s="3">
        <v>45873</v>
      </c>
      <c r="O77" s="3">
        <v>45623</v>
      </c>
      <c r="P77" s="3">
        <v>45573</v>
      </c>
      <c r="Q77" t="s">
        <v>35</v>
      </c>
      <c r="R77" s="3">
        <v>45573</v>
      </c>
      <c r="S77" t="s">
        <v>94</v>
      </c>
      <c r="T77">
        <v>21</v>
      </c>
      <c r="U77" t="s">
        <v>31</v>
      </c>
      <c r="V77">
        <v>0</v>
      </c>
    </row>
    <row r="78" spans="1:22" x14ac:dyDescent="0.3">
      <c r="A78">
        <v>50</v>
      </c>
      <c r="B78" t="s">
        <v>156</v>
      </c>
      <c r="C78" t="s">
        <v>150</v>
      </c>
      <c r="D78" t="s">
        <v>157</v>
      </c>
      <c r="E78" t="s">
        <v>152</v>
      </c>
      <c r="F78" s="3">
        <v>43562</v>
      </c>
      <c r="G78" t="s">
        <v>34</v>
      </c>
      <c r="H78">
        <v>2</v>
      </c>
      <c r="I78" s="3">
        <v>45419</v>
      </c>
      <c r="J78" t="s">
        <v>35</v>
      </c>
      <c r="K78" s="3">
        <v>45778</v>
      </c>
      <c r="L78">
        <f t="shared" ca="1" si="2"/>
        <v>6</v>
      </c>
      <c r="M78" s="3">
        <v>45908</v>
      </c>
      <c r="N78" s="3">
        <v>45719</v>
      </c>
      <c r="O78" s="3">
        <v>46273</v>
      </c>
      <c r="P78" s="3">
        <v>45419</v>
      </c>
      <c r="Q78" t="s">
        <v>35</v>
      </c>
      <c r="R78" s="3">
        <v>45419</v>
      </c>
      <c r="S78" t="s">
        <v>30</v>
      </c>
      <c r="T78">
        <v>21</v>
      </c>
      <c r="U78" t="s">
        <v>31</v>
      </c>
      <c r="V78">
        <v>0</v>
      </c>
    </row>
    <row r="79" spans="1:22" x14ac:dyDescent="0.3">
      <c r="A79">
        <v>51</v>
      </c>
      <c r="B79">
        <v>897</v>
      </c>
      <c r="C79" t="s">
        <v>40</v>
      </c>
      <c r="D79" t="s">
        <v>158</v>
      </c>
      <c r="E79" t="s">
        <v>25</v>
      </c>
      <c r="F79" s="3">
        <v>43624</v>
      </c>
      <c r="G79" t="s">
        <v>26</v>
      </c>
      <c r="H79">
        <v>1</v>
      </c>
      <c r="I79" s="3">
        <v>45598</v>
      </c>
      <c r="J79" t="s">
        <v>27</v>
      </c>
      <c r="K79" s="3">
        <v>45778</v>
      </c>
      <c r="L79">
        <f t="shared" ca="1" si="2"/>
        <v>6</v>
      </c>
      <c r="M79" s="3">
        <v>46088</v>
      </c>
      <c r="N79" s="3">
        <v>45898</v>
      </c>
      <c r="O79" s="3">
        <v>46274</v>
      </c>
      <c r="P79" s="3">
        <v>45598</v>
      </c>
      <c r="Q79" t="s">
        <v>27</v>
      </c>
      <c r="R79" s="3">
        <v>45598</v>
      </c>
      <c r="S79" t="s">
        <v>30</v>
      </c>
      <c r="T79">
        <v>21</v>
      </c>
      <c r="U79" t="s">
        <v>31</v>
      </c>
      <c r="V79">
        <v>201.5</v>
      </c>
    </row>
    <row r="80" spans="1:22" x14ac:dyDescent="0.3">
      <c r="A80">
        <v>52</v>
      </c>
      <c r="B80">
        <v>883</v>
      </c>
      <c r="C80" t="s">
        <v>40</v>
      </c>
      <c r="D80" t="s">
        <v>160</v>
      </c>
      <c r="E80" t="s">
        <v>42</v>
      </c>
      <c r="F80" s="3">
        <v>43192</v>
      </c>
      <c r="G80" t="s">
        <v>26</v>
      </c>
      <c r="H80">
        <v>1</v>
      </c>
      <c r="I80" s="3">
        <v>45632</v>
      </c>
      <c r="J80" t="s">
        <v>27</v>
      </c>
      <c r="K80" s="3">
        <v>45778</v>
      </c>
      <c r="L80">
        <f t="shared" ca="1" si="2"/>
        <v>7</v>
      </c>
      <c r="M80" s="3">
        <v>46088</v>
      </c>
      <c r="N80" s="3">
        <v>45932</v>
      </c>
      <c r="O80" s="3">
        <v>46275</v>
      </c>
      <c r="P80" s="3">
        <v>45632</v>
      </c>
      <c r="Q80" t="s">
        <v>27</v>
      </c>
      <c r="R80" s="3">
        <v>45632</v>
      </c>
      <c r="S80" t="s">
        <v>94</v>
      </c>
      <c r="T80">
        <v>21</v>
      </c>
      <c r="U80" t="s">
        <v>31</v>
      </c>
      <c r="V80">
        <v>0</v>
      </c>
    </row>
    <row r="81" spans="1:22" x14ac:dyDescent="0.3">
      <c r="A81">
        <v>58</v>
      </c>
      <c r="B81">
        <v>901</v>
      </c>
      <c r="C81" t="s">
        <v>40</v>
      </c>
      <c r="D81" t="s">
        <v>161</v>
      </c>
      <c r="E81" t="s">
        <v>42</v>
      </c>
      <c r="F81" s="3">
        <v>43569</v>
      </c>
      <c r="G81" t="s">
        <v>26</v>
      </c>
      <c r="H81">
        <v>1</v>
      </c>
      <c r="I81" s="3">
        <v>45788</v>
      </c>
      <c r="J81" t="s">
        <v>27</v>
      </c>
      <c r="K81" s="3">
        <v>45778</v>
      </c>
      <c r="L81">
        <f t="shared" ca="1" si="2"/>
        <v>6</v>
      </c>
      <c r="M81" s="3">
        <v>46088</v>
      </c>
      <c r="N81" s="3">
        <v>46088</v>
      </c>
      <c r="O81" s="3">
        <v>46276</v>
      </c>
      <c r="P81" s="3">
        <v>45788</v>
      </c>
      <c r="Q81" t="s">
        <v>27</v>
      </c>
      <c r="R81" s="3">
        <v>45788</v>
      </c>
      <c r="S81" t="s">
        <v>94</v>
      </c>
      <c r="T81">
        <v>21</v>
      </c>
      <c r="U81" t="s">
        <v>31</v>
      </c>
      <c r="V81">
        <v>195</v>
      </c>
    </row>
    <row r="82" spans="1:22" x14ac:dyDescent="0.3">
      <c r="A82">
        <v>1</v>
      </c>
      <c r="B82">
        <v>40005</v>
      </c>
      <c r="C82" t="s">
        <v>23</v>
      </c>
      <c r="D82" t="s">
        <v>24</v>
      </c>
      <c r="E82" t="s">
        <v>25</v>
      </c>
      <c r="F82" s="3">
        <v>43177</v>
      </c>
      <c r="G82" t="s">
        <v>26</v>
      </c>
      <c r="H82">
        <v>3</v>
      </c>
      <c r="I82" s="3">
        <v>45626</v>
      </c>
      <c r="J82" t="s">
        <v>27</v>
      </c>
      <c r="K82" s="3">
        <v>45687</v>
      </c>
      <c r="L82">
        <f t="shared" ca="1" si="2"/>
        <v>7</v>
      </c>
      <c r="M82" s="3">
        <v>45997</v>
      </c>
      <c r="N82" s="3">
        <v>45926</v>
      </c>
      <c r="O82" s="3">
        <v>46277</v>
      </c>
      <c r="P82" s="3" t="s">
        <v>174</v>
      </c>
      <c r="Q82" t="s">
        <v>74</v>
      </c>
      <c r="R82" s="3">
        <v>45695</v>
      </c>
      <c r="S82" t="s">
        <v>30</v>
      </c>
      <c r="T82">
        <v>21</v>
      </c>
      <c r="U82" t="s">
        <v>31</v>
      </c>
      <c r="V82">
        <v>7</v>
      </c>
    </row>
    <row r="83" spans="1:22" x14ac:dyDescent="0.3">
      <c r="A83">
        <v>3</v>
      </c>
      <c r="B83" t="s">
        <v>175</v>
      </c>
      <c r="C83" t="s">
        <v>40</v>
      </c>
      <c r="D83" t="s">
        <v>176</v>
      </c>
      <c r="E83" t="s">
        <v>42</v>
      </c>
      <c r="F83" s="3">
        <v>41524</v>
      </c>
      <c r="G83" t="s">
        <v>34</v>
      </c>
      <c r="H83">
        <v>4</v>
      </c>
      <c r="I83" s="3">
        <v>45291</v>
      </c>
      <c r="J83" t="s">
        <v>27</v>
      </c>
      <c r="K83" s="3">
        <v>45687</v>
      </c>
      <c r="L83">
        <f t="shared" ca="1" si="2"/>
        <v>12</v>
      </c>
      <c r="M83" s="3">
        <v>45952</v>
      </c>
      <c r="N83" s="3">
        <v>45591</v>
      </c>
      <c r="O83" s="3">
        <v>46232</v>
      </c>
      <c r="P83" s="3" t="s">
        <v>177</v>
      </c>
      <c r="Q83" t="s">
        <v>70</v>
      </c>
      <c r="R83" s="3">
        <v>45609</v>
      </c>
      <c r="S83" t="s">
        <v>75</v>
      </c>
      <c r="T83">
        <v>26</v>
      </c>
      <c r="U83" t="s">
        <v>45</v>
      </c>
      <c r="V83">
        <v>201.5</v>
      </c>
    </row>
    <row r="84" spans="1:22" x14ac:dyDescent="0.3">
      <c r="A84">
        <v>4</v>
      </c>
      <c r="B84" t="s">
        <v>178</v>
      </c>
      <c r="C84" t="s">
        <v>40</v>
      </c>
      <c r="D84" t="s">
        <v>179</v>
      </c>
      <c r="E84" t="s">
        <v>42</v>
      </c>
      <c r="F84" s="3">
        <v>41565</v>
      </c>
      <c r="G84" t="s">
        <v>34</v>
      </c>
      <c r="H84">
        <v>5</v>
      </c>
      <c r="I84" s="3">
        <v>45428</v>
      </c>
      <c r="J84" t="s">
        <v>35</v>
      </c>
      <c r="K84" s="3">
        <v>45687</v>
      </c>
      <c r="L84">
        <f t="shared" ca="1" si="2"/>
        <v>12</v>
      </c>
      <c r="M84" s="3">
        <v>45997</v>
      </c>
      <c r="N84" s="3">
        <v>45728</v>
      </c>
      <c r="O84" s="3">
        <v>46277</v>
      </c>
      <c r="P84" s="3" t="s">
        <v>180</v>
      </c>
      <c r="Q84" t="s">
        <v>87</v>
      </c>
      <c r="R84" s="3">
        <v>45666</v>
      </c>
      <c r="S84" t="s">
        <v>30</v>
      </c>
      <c r="T84">
        <v>21</v>
      </c>
      <c r="U84" t="s">
        <v>31</v>
      </c>
      <c r="V84">
        <v>6</v>
      </c>
    </row>
    <row r="85" spans="1:22" x14ac:dyDescent="0.3">
      <c r="A85">
        <v>5</v>
      </c>
      <c r="B85" t="s">
        <v>181</v>
      </c>
      <c r="C85" t="s">
        <v>40</v>
      </c>
      <c r="D85" t="s">
        <v>182</v>
      </c>
      <c r="E85" t="s">
        <v>42</v>
      </c>
      <c r="F85" s="3">
        <v>41156</v>
      </c>
      <c r="G85" t="s">
        <v>34</v>
      </c>
      <c r="H85">
        <v>5</v>
      </c>
      <c r="I85" s="3">
        <v>44772</v>
      </c>
      <c r="J85" t="s">
        <v>27</v>
      </c>
      <c r="K85" s="3">
        <v>45687</v>
      </c>
      <c r="L85">
        <f t="shared" ca="1" si="2"/>
        <v>13</v>
      </c>
      <c r="M85" s="3">
        <v>45997</v>
      </c>
      <c r="N85" s="3">
        <v>45072</v>
      </c>
      <c r="O85" s="3">
        <v>46277</v>
      </c>
      <c r="P85" s="3" t="s">
        <v>183</v>
      </c>
      <c r="Q85" t="s">
        <v>74</v>
      </c>
      <c r="R85" s="3">
        <v>45041</v>
      </c>
      <c r="S85" t="s">
        <v>138</v>
      </c>
      <c r="T85">
        <v>28</v>
      </c>
      <c r="U85" t="s">
        <v>45</v>
      </c>
      <c r="V85">
        <v>0</v>
      </c>
    </row>
    <row r="86" spans="1:22" x14ac:dyDescent="0.3">
      <c r="A86">
        <v>7</v>
      </c>
      <c r="B86">
        <v>30019</v>
      </c>
      <c r="C86" t="s">
        <v>40</v>
      </c>
      <c r="D86" t="s">
        <v>47</v>
      </c>
      <c r="E86" t="s">
        <v>42</v>
      </c>
      <c r="F86" s="3">
        <v>41496</v>
      </c>
      <c r="G86" t="s">
        <v>34</v>
      </c>
      <c r="H86">
        <v>6</v>
      </c>
      <c r="I86" s="3">
        <v>45261</v>
      </c>
      <c r="J86" t="s">
        <v>35</v>
      </c>
      <c r="K86" s="3">
        <v>45687</v>
      </c>
      <c r="L86">
        <f t="shared" ca="1" si="2"/>
        <v>12</v>
      </c>
      <c r="M86" s="3">
        <v>45952</v>
      </c>
      <c r="N86" s="3">
        <v>45561</v>
      </c>
      <c r="O86" s="3">
        <v>46232</v>
      </c>
      <c r="P86" s="3" t="s">
        <v>185</v>
      </c>
      <c r="Q86" t="s">
        <v>87</v>
      </c>
      <c r="R86" s="3">
        <v>45664</v>
      </c>
      <c r="S86" t="s">
        <v>94</v>
      </c>
      <c r="T86">
        <v>21</v>
      </c>
      <c r="U86" t="s">
        <v>31</v>
      </c>
      <c r="V86">
        <v>0</v>
      </c>
    </row>
    <row r="87" spans="1:22" x14ac:dyDescent="0.3">
      <c r="A87">
        <v>8</v>
      </c>
      <c r="B87">
        <v>370309</v>
      </c>
      <c r="C87" t="s">
        <v>26</v>
      </c>
      <c r="D87" t="s">
        <v>50</v>
      </c>
      <c r="E87" t="s">
        <v>42</v>
      </c>
      <c r="F87" s="3">
        <v>42800</v>
      </c>
      <c r="G87" t="s">
        <v>34</v>
      </c>
      <c r="H87">
        <v>2</v>
      </c>
      <c r="I87" s="3">
        <v>45413</v>
      </c>
      <c r="J87" t="s">
        <v>27</v>
      </c>
      <c r="K87" s="3">
        <v>45687</v>
      </c>
      <c r="L87">
        <f t="shared" ca="1" si="2"/>
        <v>8</v>
      </c>
      <c r="M87" s="3">
        <v>45997</v>
      </c>
      <c r="N87" s="3">
        <v>45713</v>
      </c>
      <c r="O87" s="3">
        <v>46277</v>
      </c>
      <c r="P87" s="3" t="s">
        <v>186</v>
      </c>
      <c r="Q87" t="s">
        <v>70</v>
      </c>
      <c r="R87" s="3">
        <v>45683</v>
      </c>
      <c r="S87" t="s">
        <v>30</v>
      </c>
      <c r="T87">
        <v>21</v>
      </c>
      <c r="U87" t="s">
        <v>45</v>
      </c>
      <c r="V87">
        <v>5.806451612903226</v>
      </c>
    </row>
    <row r="88" spans="1:22" x14ac:dyDescent="0.3">
      <c r="A88">
        <v>9</v>
      </c>
      <c r="B88" t="s">
        <v>53</v>
      </c>
      <c r="C88" t="s">
        <v>40</v>
      </c>
      <c r="D88" t="s">
        <v>54</v>
      </c>
      <c r="E88" t="s">
        <v>42</v>
      </c>
      <c r="F88" s="3">
        <v>41526</v>
      </c>
      <c r="G88" t="s">
        <v>26</v>
      </c>
      <c r="H88">
        <v>6</v>
      </c>
      <c r="I88" s="3">
        <v>45681</v>
      </c>
      <c r="J88" t="s">
        <v>27</v>
      </c>
      <c r="K88" s="3">
        <v>45687</v>
      </c>
      <c r="L88">
        <f t="shared" ca="1" si="2"/>
        <v>12</v>
      </c>
      <c r="M88" s="3">
        <v>45997</v>
      </c>
      <c r="N88" s="3">
        <v>45981</v>
      </c>
      <c r="O88" s="3">
        <v>46277</v>
      </c>
      <c r="P88" s="3" t="s">
        <v>187</v>
      </c>
      <c r="Q88" t="s">
        <v>70</v>
      </c>
      <c r="R88" s="3">
        <v>45396</v>
      </c>
      <c r="S88" t="s">
        <v>94</v>
      </c>
      <c r="T88">
        <v>21</v>
      </c>
      <c r="U88" t="s">
        <v>31</v>
      </c>
      <c r="V88">
        <v>5</v>
      </c>
    </row>
    <row r="89" spans="1:22" x14ac:dyDescent="0.3">
      <c r="A89">
        <v>10</v>
      </c>
      <c r="B89">
        <v>3913</v>
      </c>
      <c r="C89" t="s">
        <v>40</v>
      </c>
      <c r="D89" t="s">
        <v>58</v>
      </c>
      <c r="E89" t="s">
        <v>42</v>
      </c>
      <c r="F89" s="3">
        <v>41436</v>
      </c>
      <c r="G89" t="s">
        <v>34</v>
      </c>
      <c r="H89">
        <v>4</v>
      </c>
      <c r="I89" s="3">
        <v>45323</v>
      </c>
      <c r="J89" t="s">
        <v>27</v>
      </c>
      <c r="K89" s="3">
        <v>45687</v>
      </c>
      <c r="L89">
        <f t="shared" ca="1" si="2"/>
        <v>12</v>
      </c>
      <c r="M89" s="3">
        <v>45907</v>
      </c>
      <c r="N89" s="3">
        <v>45623</v>
      </c>
      <c r="O89" s="3">
        <v>46187</v>
      </c>
      <c r="P89" s="3" t="s">
        <v>188</v>
      </c>
      <c r="Q89" t="s">
        <v>70</v>
      </c>
      <c r="R89" s="3">
        <v>45674</v>
      </c>
      <c r="S89" t="s">
        <v>30</v>
      </c>
      <c r="T89">
        <v>21</v>
      </c>
      <c r="U89" t="s">
        <v>31</v>
      </c>
      <c r="V89">
        <v>0</v>
      </c>
    </row>
    <row r="90" spans="1:22" x14ac:dyDescent="0.3">
      <c r="A90">
        <v>11</v>
      </c>
      <c r="B90">
        <v>3926</v>
      </c>
      <c r="C90" t="s">
        <v>40</v>
      </c>
      <c r="D90" t="s">
        <v>61</v>
      </c>
      <c r="E90" t="s">
        <v>42</v>
      </c>
      <c r="F90" s="3">
        <v>41477</v>
      </c>
      <c r="G90" t="s">
        <v>34</v>
      </c>
      <c r="H90">
        <v>5</v>
      </c>
      <c r="I90" s="3">
        <v>45335</v>
      </c>
      <c r="J90" t="s">
        <v>35</v>
      </c>
      <c r="K90" s="3">
        <v>45687</v>
      </c>
      <c r="L90">
        <f t="shared" ca="1" si="2"/>
        <v>12</v>
      </c>
      <c r="M90" s="3">
        <v>45892</v>
      </c>
      <c r="N90" s="3">
        <v>45635</v>
      </c>
      <c r="O90" s="3">
        <v>46172</v>
      </c>
      <c r="P90" s="3" t="s">
        <v>189</v>
      </c>
      <c r="Q90" t="s">
        <v>87</v>
      </c>
      <c r="R90" s="3">
        <v>45656</v>
      </c>
      <c r="S90" t="s">
        <v>94</v>
      </c>
      <c r="T90">
        <v>21</v>
      </c>
      <c r="U90" t="s">
        <v>31</v>
      </c>
      <c r="V90">
        <v>150</v>
      </c>
    </row>
    <row r="91" spans="1:22" x14ac:dyDescent="0.3">
      <c r="A91">
        <v>12</v>
      </c>
      <c r="B91">
        <v>2280</v>
      </c>
      <c r="C91" t="s">
        <v>26</v>
      </c>
      <c r="D91" t="s">
        <v>65</v>
      </c>
      <c r="E91" t="s">
        <v>25</v>
      </c>
      <c r="F91" s="3">
        <v>40704</v>
      </c>
      <c r="G91" t="s">
        <v>34</v>
      </c>
      <c r="H91">
        <v>6</v>
      </c>
      <c r="I91" s="3">
        <v>45357</v>
      </c>
      <c r="J91" t="s">
        <v>35</v>
      </c>
      <c r="K91" s="3">
        <v>45687</v>
      </c>
      <c r="L91">
        <f t="shared" ca="1" si="2"/>
        <v>14</v>
      </c>
      <c r="M91" s="3">
        <v>45967</v>
      </c>
      <c r="N91" s="3">
        <v>45657</v>
      </c>
      <c r="O91" s="3">
        <v>46247</v>
      </c>
      <c r="P91" s="3" t="s">
        <v>190</v>
      </c>
      <c r="Q91" t="s">
        <v>87</v>
      </c>
      <c r="R91" s="3">
        <v>45650</v>
      </c>
      <c r="S91" t="s">
        <v>30</v>
      </c>
      <c r="T91">
        <v>21</v>
      </c>
      <c r="U91" t="s">
        <v>31</v>
      </c>
      <c r="V91">
        <v>7</v>
      </c>
    </row>
    <row r="92" spans="1:22" x14ac:dyDescent="0.3">
      <c r="A92">
        <v>13</v>
      </c>
      <c r="B92">
        <v>2986</v>
      </c>
      <c r="C92" t="s">
        <v>40</v>
      </c>
      <c r="D92" t="s">
        <v>68</v>
      </c>
      <c r="E92" t="s">
        <v>42</v>
      </c>
      <c r="F92" s="3">
        <v>41319</v>
      </c>
      <c r="G92" t="s">
        <v>34</v>
      </c>
      <c r="H92">
        <v>4</v>
      </c>
      <c r="I92" s="3">
        <v>45205</v>
      </c>
      <c r="J92" t="s">
        <v>27</v>
      </c>
      <c r="K92" s="3">
        <v>45687</v>
      </c>
      <c r="L92">
        <f t="shared" ca="1" si="2"/>
        <v>13</v>
      </c>
      <c r="M92" s="3">
        <v>45997</v>
      </c>
      <c r="N92" s="3">
        <v>45505</v>
      </c>
      <c r="O92" s="3">
        <v>46277</v>
      </c>
      <c r="P92" s="3" t="s">
        <v>191</v>
      </c>
      <c r="Q92" t="s">
        <v>74</v>
      </c>
      <c r="R92" s="3">
        <v>45524</v>
      </c>
      <c r="S92" t="s">
        <v>138</v>
      </c>
      <c r="T92">
        <v>24</v>
      </c>
      <c r="U92" t="s">
        <v>45</v>
      </c>
      <c r="V92">
        <v>7</v>
      </c>
    </row>
    <row r="93" spans="1:22" x14ac:dyDescent="0.3">
      <c r="A93">
        <v>14</v>
      </c>
      <c r="B93">
        <v>30004</v>
      </c>
      <c r="C93" t="s">
        <v>23</v>
      </c>
      <c r="D93" t="s">
        <v>72</v>
      </c>
      <c r="E93" t="s">
        <v>42</v>
      </c>
      <c r="F93" s="3">
        <v>41428</v>
      </c>
      <c r="G93" t="s">
        <v>34</v>
      </c>
      <c r="H93">
        <v>6</v>
      </c>
      <c r="I93" s="3">
        <v>45324</v>
      </c>
      <c r="J93" t="s">
        <v>27</v>
      </c>
      <c r="K93" s="3">
        <v>45687</v>
      </c>
      <c r="L93">
        <f t="shared" ca="1" si="2"/>
        <v>12</v>
      </c>
      <c r="M93" s="3">
        <v>45997</v>
      </c>
      <c r="N93" s="3">
        <v>45624</v>
      </c>
      <c r="O93" s="3">
        <v>46277</v>
      </c>
      <c r="P93" s="3" t="s">
        <v>192</v>
      </c>
      <c r="Q93" t="s">
        <v>74</v>
      </c>
      <c r="R93" s="3">
        <v>45624</v>
      </c>
      <c r="S93" t="s">
        <v>30</v>
      </c>
      <c r="T93">
        <v>21</v>
      </c>
      <c r="U93" t="s">
        <v>31</v>
      </c>
      <c r="V93">
        <v>217</v>
      </c>
    </row>
    <row r="94" spans="1:22" x14ac:dyDescent="0.3">
      <c r="A94">
        <v>15</v>
      </c>
      <c r="B94">
        <v>10002</v>
      </c>
      <c r="C94" t="s">
        <v>23</v>
      </c>
      <c r="D94" t="s">
        <v>78</v>
      </c>
      <c r="E94" t="s">
        <v>25</v>
      </c>
      <c r="F94" s="3">
        <v>41826</v>
      </c>
      <c r="G94" t="s">
        <v>26</v>
      </c>
      <c r="H94">
        <v>4</v>
      </c>
      <c r="I94" s="3">
        <v>45606</v>
      </c>
      <c r="J94" t="s">
        <v>27</v>
      </c>
      <c r="K94" s="3">
        <v>45687</v>
      </c>
      <c r="L94">
        <f t="shared" ca="1" si="2"/>
        <v>11</v>
      </c>
      <c r="M94" s="3">
        <v>45967</v>
      </c>
      <c r="N94" s="3">
        <v>45906</v>
      </c>
      <c r="O94" s="3">
        <v>46247</v>
      </c>
      <c r="P94" s="3" t="s">
        <v>193</v>
      </c>
      <c r="Q94" t="s">
        <v>74</v>
      </c>
      <c r="R94" s="3">
        <v>45698</v>
      </c>
      <c r="S94" t="s">
        <v>30</v>
      </c>
      <c r="T94">
        <v>21</v>
      </c>
      <c r="U94" t="s">
        <v>31</v>
      </c>
      <c r="V94">
        <v>0</v>
      </c>
    </row>
    <row r="95" spans="1:22" x14ac:dyDescent="0.3">
      <c r="A95">
        <v>16</v>
      </c>
      <c r="B95">
        <v>2907</v>
      </c>
      <c r="C95" t="s">
        <v>40</v>
      </c>
      <c r="D95" t="s">
        <v>81</v>
      </c>
      <c r="E95" t="s">
        <v>42</v>
      </c>
      <c r="F95" s="3">
        <v>41431</v>
      </c>
      <c r="G95" t="s">
        <v>34</v>
      </c>
      <c r="H95">
        <v>3</v>
      </c>
      <c r="I95" s="3">
        <v>45232</v>
      </c>
      <c r="J95" t="s">
        <v>27</v>
      </c>
      <c r="K95" s="3">
        <v>45687</v>
      </c>
      <c r="L95">
        <f t="shared" ca="1" si="2"/>
        <v>12</v>
      </c>
      <c r="M95" s="3">
        <v>45907</v>
      </c>
      <c r="N95" s="3">
        <v>45532</v>
      </c>
      <c r="O95" s="3">
        <v>46187</v>
      </c>
      <c r="P95" s="3" t="s">
        <v>194</v>
      </c>
      <c r="Q95" t="s">
        <v>74</v>
      </c>
      <c r="R95" s="3">
        <v>45541</v>
      </c>
      <c r="S95" t="s">
        <v>138</v>
      </c>
      <c r="T95" t="s">
        <v>76</v>
      </c>
      <c r="U95" t="s">
        <v>45</v>
      </c>
      <c r="V95">
        <v>201.5</v>
      </c>
    </row>
    <row r="96" spans="1:22" x14ac:dyDescent="0.3">
      <c r="A96">
        <v>18</v>
      </c>
      <c r="B96" t="s">
        <v>265</v>
      </c>
      <c r="C96" t="s">
        <v>26</v>
      </c>
      <c r="D96" t="s">
        <v>89</v>
      </c>
      <c r="E96" t="s">
        <v>25</v>
      </c>
      <c r="F96" s="3">
        <v>42751</v>
      </c>
      <c r="G96" t="s">
        <v>26</v>
      </c>
      <c r="H96">
        <v>4</v>
      </c>
      <c r="I96" s="3">
        <v>45712</v>
      </c>
      <c r="J96" t="s">
        <v>27</v>
      </c>
      <c r="K96" s="3">
        <v>45687</v>
      </c>
      <c r="L96">
        <f t="shared" ca="1" si="2"/>
        <v>9</v>
      </c>
      <c r="M96" s="3">
        <v>45967</v>
      </c>
      <c r="N96" s="3">
        <v>46012</v>
      </c>
      <c r="O96" s="3">
        <v>46247</v>
      </c>
      <c r="P96" s="3" t="s">
        <v>195</v>
      </c>
      <c r="Q96" t="s">
        <v>74</v>
      </c>
      <c r="R96" s="3">
        <v>45771</v>
      </c>
      <c r="S96" t="s">
        <v>30</v>
      </c>
      <c r="T96">
        <v>21</v>
      </c>
      <c r="U96" t="s">
        <v>31</v>
      </c>
      <c r="V96">
        <v>4</v>
      </c>
    </row>
    <row r="97" spans="1:22" x14ac:dyDescent="0.3">
      <c r="A97">
        <v>21</v>
      </c>
      <c r="B97">
        <v>2380</v>
      </c>
      <c r="C97" t="s">
        <v>26</v>
      </c>
      <c r="D97" t="s">
        <v>98</v>
      </c>
      <c r="E97" t="s">
        <v>42</v>
      </c>
      <c r="F97" s="3">
        <v>40909</v>
      </c>
      <c r="G97" t="s">
        <v>26</v>
      </c>
      <c r="H97">
        <v>5</v>
      </c>
      <c r="I97" s="3">
        <v>45603</v>
      </c>
      <c r="J97" t="s">
        <v>27</v>
      </c>
      <c r="K97" s="3">
        <v>45687</v>
      </c>
      <c r="L97">
        <f t="shared" ca="1" si="2"/>
        <v>14</v>
      </c>
      <c r="M97" s="3">
        <v>45997</v>
      </c>
      <c r="N97" s="3">
        <v>45903</v>
      </c>
      <c r="O97" s="3">
        <v>45883</v>
      </c>
      <c r="P97" s="3" t="s">
        <v>184</v>
      </c>
      <c r="Q97" t="s">
        <v>74</v>
      </c>
      <c r="R97" s="3">
        <v>45702</v>
      </c>
      <c r="S97" t="s">
        <v>30</v>
      </c>
      <c r="T97">
        <v>21</v>
      </c>
      <c r="U97" t="s">
        <v>31</v>
      </c>
      <c r="V97">
        <v>1515</v>
      </c>
    </row>
    <row r="98" spans="1:22" x14ac:dyDescent="0.3">
      <c r="A98">
        <v>22</v>
      </c>
      <c r="B98" t="s">
        <v>100</v>
      </c>
      <c r="C98" t="s">
        <v>26</v>
      </c>
      <c r="D98" t="s">
        <v>101</v>
      </c>
      <c r="E98" t="s">
        <v>42</v>
      </c>
      <c r="F98" s="3">
        <v>42912</v>
      </c>
      <c r="G98" t="s">
        <v>26</v>
      </c>
      <c r="H98">
        <v>2</v>
      </c>
      <c r="I98" s="3">
        <v>45595</v>
      </c>
      <c r="J98" t="s">
        <v>27</v>
      </c>
      <c r="K98" s="3">
        <v>45687</v>
      </c>
      <c r="L98">
        <f t="shared" ca="1" si="2"/>
        <v>8</v>
      </c>
      <c r="M98" s="3">
        <v>45997</v>
      </c>
      <c r="N98" s="3">
        <v>45895</v>
      </c>
      <c r="O98" s="3">
        <v>45875</v>
      </c>
      <c r="P98" s="3" t="s">
        <v>196</v>
      </c>
      <c r="Q98" t="s">
        <v>74</v>
      </c>
      <c r="R98" s="3">
        <v>45694</v>
      </c>
      <c r="S98" t="s">
        <v>94</v>
      </c>
      <c r="T98">
        <v>21</v>
      </c>
      <c r="U98" t="s">
        <v>31</v>
      </c>
      <c r="V98">
        <v>837</v>
      </c>
    </row>
    <row r="99" spans="1:22" x14ac:dyDescent="0.3">
      <c r="A99">
        <v>24</v>
      </c>
      <c r="B99">
        <v>2158</v>
      </c>
      <c r="C99" t="s">
        <v>26</v>
      </c>
      <c r="D99" t="s">
        <v>106</v>
      </c>
      <c r="E99" t="s">
        <v>25</v>
      </c>
      <c r="F99" s="3">
        <v>40544</v>
      </c>
      <c r="G99" t="s">
        <v>26</v>
      </c>
      <c r="H99">
        <v>6</v>
      </c>
      <c r="I99" s="3">
        <v>45638</v>
      </c>
      <c r="J99" t="s">
        <v>27</v>
      </c>
      <c r="K99" s="3">
        <v>45700</v>
      </c>
      <c r="L99">
        <f t="shared" ca="1" si="2"/>
        <v>15</v>
      </c>
      <c r="M99" s="3">
        <v>45997</v>
      </c>
      <c r="N99" s="3">
        <v>45938</v>
      </c>
      <c r="O99" s="3">
        <v>45918</v>
      </c>
      <c r="P99" s="3" t="s">
        <v>198</v>
      </c>
      <c r="Q99" t="s">
        <v>74</v>
      </c>
      <c r="R99" s="3">
        <v>45727</v>
      </c>
      <c r="S99" t="s">
        <v>30</v>
      </c>
      <c r="T99">
        <v>21</v>
      </c>
      <c r="U99" t="s">
        <v>31</v>
      </c>
      <c r="V99">
        <v>5</v>
      </c>
    </row>
    <row r="100" spans="1:22" x14ac:dyDescent="0.3">
      <c r="A100">
        <v>25</v>
      </c>
      <c r="B100" t="s">
        <v>268</v>
      </c>
      <c r="C100" t="s">
        <v>26</v>
      </c>
      <c r="D100" t="s">
        <v>109</v>
      </c>
      <c r="E100" t="s">
        <v>25</v>
      </c>
      <c r="F100" s="3">
        <v>43112</v>
      </c>
      <c r="G100" t="s">
        <v>26</v>
      </c>
      <c r="H100">
        <v>2</v>
      </c>
      <c r="I100" s="3">
        <v>45626</v>
      </c>
      <c r="J100" t="s">
        <v>27</v>
      </c>
      <c r="K100" s="3">
        <v>45687</v>
      </c>
      <c r="L100">
        <f t="shared" ca="1" si="2"/>
        <v>8</v>
      </c>
      <c r="M100" s="3">
        <v>45997</v>
      </c>
      <c r="N100" s="3">
        <v>45926</v>
      </c>
      <c r="O100" s="3">
        <v>45906</v>
      </c>
      <c r="P100" s="3" t="s">
        <v>199</v>
      </c>
      <c r="Q100" t="s">
        <v>74</v>
      </c>
      <c r="R100" s="3">
        <v>45698</v>
      </c>
      <c r="S100" t="s">
        <v>94</v>
      </c>
      <c r="T100">
        <v>21</v>
      </c>
      <c r="U100" t="s">
        <v>31</v>
      </c>
      <c r="V100">
        <v>128.82258064516131</v>
      </c>
    </row>
    <row r="101" spans="1:22" x14ac:dyDescent="0.3">
      <c r="A101">
        <v>26</v>
      </c>
      <c r="B101">
        <v>751</v>
      </c>
      <c r="C101" t="s">
        <v>40</v>
      </c>
      <c r="D101" t="s">
        <v>111</v>
      </c>
      <c r="E101" t="s">
        <v>42</v>
      </c>
      <c r="F101" s="3">
        <v>39094</v>
      </c>
      <c r="G101" t="s">
        <v>34</v>
      </c>
      <c r="H101">
        <v>5</v>
      </c>
      <c r="I101" s="3">
        <v>45432</v>
      </c>
      <c r="J101" t="s">
        <v>27</v>
      </c>
      <c r="K101" s="3">
        <v>45687</v>
      </c>
      <c r="L101">
        <f t="shared" ca="1" si="2"/>
        <v>19</v>
      </c>
      <c r="M101" s="3">
        <v>45997</v>
      </c>
      <c r="N101" s="3">
        <v>45732</v>
      </c>
      <c r="O101" s="3">
        <v>45712</v>
      </c>
      <c r="P101" s="3" t="s">
        <v>200</v>
      </c>
      <c r="Q101" t="s">
        <v>74</v>
      </c>
      <c r="R101" s="3">
        <v>45564</v>
      </c>
      <c r="S101" t="s">
        <v>30</v>
      </c>
      <c r="T101">
        <v>24</v>
      </c>
      <c r="U101" t="s">
        <v>45</v>
      </c>
      <c r="V101">
        <v>6.7166666666666668</v>
      </c>
    </row>
    <row r="102" spans="1:22" x14ac:dyDescent="0.3">
      <c r="A102">
        <v>28</v>
      </c>
      <c r="B102">
        <v>14003</v>
      </c>
      <c r="C102" t="s">
        <v>40</v>
      </c>
      <c r="D102" t="s">
        <v>116</v>
      </c>
      <c r="E102" t="s">
        <v>42</v>
      </c>
      <c r="F102" s="3">
        <v>41010</v>
      </c>
      <c r="G102" t="s">
        <v>26</v>
      </c>
      <c r="H102">
        <v>6</v>
      </c>
      <c r="I102" s="3">
        <v>45598</v>
      </c>
      <c r="J102" t="s">
        <v>27</v>
      </c>
      <c r="K102" s="3">
        <v>45687</v>
      </c>
      <c r="L102">
        <f t="shared" ca="1" si="2"/>
        <v>13</v>
      </c>
      <c r="M102" s="3">
        <v>45997</v>
      </c>
      <c r="N102" s="3">
        <v>45898</v>
      </c>
      <c r="O102" s="3">
        <v>45878</v>
      </c>
      <c r="P102" s="3" t="s">
        <v>201</v>
      </c>
      <c r="Q102" t="s">
        <v>74</v>
      </c>
      <c r="R102" s="3">
        <v>45691</v>
      </c>
      <c r="S102" t="s">
        <v>138</v>
      </c>
      <c r="T102">
        <v>21</v>
      </c>
      <c r="U102" t="s">
        <v>31</v>
      </c>
      <c r="V102">
        <v>583.5</v>
      </c>
    </row>
    <row r="103" spans="1:22" x14ac:dyDescent="0.3">
      <c r="A103">
        <v>31</v>
      </c>
      <c r="B103" t="s">
        <v>119</v>
      </c>
      <c r="C103" t="s">
        <v>26</v>
      </c>
      <c r="D103" t="s">
        <v>173</v>
      </c>
      <c r="E103" t="s">
        <v>25</v>
      </c>
      <c r="F103" s="3">
        <v>43099</v>
      </c>
      <c r="G103" t="s">
        <v>34</v>
      </c>
      <c r="H103">
        <v>1</v>
      </c>
      <c r="I103" s="3">
        <v>45009</v>
      </c>
      <c r="J103" t="s">
        <v>35</v>
      </c>
      <c r="K103" s="3">
        <v>45687</v>
      </c>
      <c r="L103">
        <f t="shared" ref="L103:L149" ca="1" si="3">DATEDIF(F103, TODAY(), "Y")</f>
        <v>8</v>
      </c>
      <c r="M103" s="3">
        <v>45997</v>
      </c>
      <c r="N103" s="3">
        <v>45309</v>
      </c>
      <c r="O103" s="3">
        <v>45289</v>
      </c>
      <c r="P103" s="3" t="s">
        <v>202</v>
      </c>
      <c r="Q103" t="s">
        <v>87</v>
      </c>
      <c r="R103" s="3">
        <v>45635</v>
      </c>
      <c r="S103" t="s">
        <v>94</v>
      </c>
      <c r="T103">
        <v>21</v>
      </c>
      <c r="U103" t="s">
        <v>31</v>
      </c>
      <c r="V103">
        <v>0</v>
      </c>
    </row>
    <row r="104" spans="1:22" x14ac:dyDescent="0.3">
      <c r="A104">
        <v>32</v>
      </c>
      <c r="B104" t="s">
        <v>271</v>
      </c>
      <c r="C104" t="s">
        <v>26</v>
      </c>
      <c r="D104" t="s">
        <v>121</v>
      </c>
      <c r="E104" t="s">
        <v>25</v>
      </c>
      <c r="F104" s="3">
        <v>43140</v>
      </c>
      <c r="G104" t="s">
        <v>34</v>
      </c>
      <c r="H104">
        <v>1</v>
      </c>
      <c r="I104" s="3">
        <v>45012</v>
      </c>
      <c r="J104" t="s">
        <v>27</v>
      </c>
      <c r="K104" s="3">
        <v>45687</v>
      </c>
      <c r="L104">
        <f t="shared" ca="1" si="3"/>
        <v>8</v>
      </c>
      <c r="M104" s="3">
        <v>45997</v>
      </c>
      <c r="N104" s="3">
        <v>45312</v>
      </c>
      <c r="O104" s="3">
        <v>45292</v>
      </c>
      <c r="P104" s="3" t="s">
        <v>203</v>
      </c>
      <c r="Q104" t="s">
        <v>74</v>
      </c>
      <c r="R104" s="3">
        <v>45671</v>
      </c>
      <c r="S104" t="s">
        <v>30</v>
      </c>
      <c r="T104">
        <v>21</v>
      </c>
      <c r="U104" t="s">
        <v>31</v>
      </c>
      <c r="V104">
        <v>0</v>
      </c>
    </row>
    <row r="105" spans="1:22" x14ac:dyDescent="0.3">
      <c r="A105">
        <v>33</v>
      </c>
      <c r="B105" t="s">
        <v>274</v>
      </c>
      <c r="C105" t="s">
        <v>26</v>
      </c>
      <c r="D105" t="s">
        <v>123</v>
      </c>
      <c r="E105" t="s">
        <v>25</v>
      </c>
      <c r="F105" s="3">
        <v>43141</v>
      </c>
      <c r="G105" t="s">
        <v>26</v>
      </c>
      <c r="H105">
        <v>2</v>
      </c>
      <c r="I105" s="3">
        <v>45604</v>
      </c>
      <c r="J105" t="s">
        <v>27</v>
      </c>
      <c r="K105" s="3">
        <v>45687</v>
      </c>
      <c r="L105">
        <f t="shared" ca="1" si="3"/>
        <v>8</v>
      </c>
      <c r="M105" s="3">
        <v>45997</v>
      </c>
      <c r="N105" s="3">
        <v>45904</v>
      </c>
      <c r="O105" s="3">
        <v>45884</v>
      </c>
      <c r="P105" s="3" t="s">
        <v>204</v>
      </c>
      <c r="Q105" t="s">
        <v>74</v>
      </c>
      <c r="R105" s="3">
        <v>45686</v>
      </c>
      <c r="S105" t="s">
        <v>30</v>
      </c>
      <c r="T105">
        <v>21</v>
      </c>
      <c r="U105" t="s">
        <v>31</v>
      </c>
      <c r="V105">
        <v>180</v>
      </c>
    </row>
    <row r="106" spans="1:22" x14ac:dyDescent="0.3">
      <c r="A106">
        <v>34</v>
      </c>
      <c r="B106">
        <v>34012</v>
      </c>
      <c r="C106" t="s">
        <v>40</v>
      </c>
      <c r="D106" t="s">
        <v>125</v>
      </c>
      <c r="E106" t="s">
        <v>42</v>
      </c>
      <c r="F106" s="3">
        <v>41761</v>
      </c>
      <c r="G106" t="s">
        <v>26</v>
      </c>
      <c r="H106">
        <v>4</v>
      </c>
      <c r="I106" s="3">
        <v>45626</v>
      </c>
      <c r="J106" t="s">
        <v>27</v>
      </c>
      <c r="K106" s="3">
        <v>45687</v>
      </c>
      <c r="L106">
        <f t="shared" ca="1" si="3"/>
        <v>11</v>
      </c>
      <c r="M106" s="3">
        <v>45997</v>
      </c>
      <c r="N106" s="3">
        <v>45926</v>
      </c>
      <c r="O106" s="3">
        <v>45906</v>
      </c>
      <c r="P106" s="3" t="s">
        <v>174</v>
      </c>
      <c r="Q106" t="s">
        <v>74</v>
      </c>
      <c r="R106" s="3">
        <v>45694</v>
      </c>
      <c r="S106" t="s">
        <v>94</v>
      </c>
      <c r="T106">
        <v>21</v>
      </c>
      <c r="U106" t="s">
        <v>31</v>
      </c>
      <c r="V106">
        <v>0</v>
      </c>
    </row>
    <row r="107" spans="1:22" x14ac:dyDescent="0.3">
      <c r="A107">
        <v>35</v>
      </c>
      <c r="B107">
        <v>32064</v>
      </c>
      <c r="C107" t="s">
        <v>40</v>
      </c>
      <c r="D107" t="s">
        <v>128</v>
      </c>
      <c r="E107" t="s">
        <v>42</v>
      </c>
      <c r="F107" s="3">
        <v>41255</v>
      </c>
      <c r="G107" t="s">
        <v>26</v>
      </c>
      <c r="H107">
        <v>5</v>
      </c>
      <c r="I107" s="3">
        <v>45600</v>
      </c>
      <c r="J107" t="s">
        <v>27</v>
      </c>
      <c r="K107" s="3">
        <v>45687</v>
      </c>
      <c r="L107">
        <f t="shared" ca="1" si="3"/>
        <v>13</v>
      </c>
      <c r="M107" s="3">
        <v>45997</v>
      </c>
      <c r="N107" s="3">
        <v>45900</v>
      </c>
      <c r="O107" s="3">
        <v>45880</v>
      </c>
      <c r="P107" s="3" t="s">
        <v>205</v>
      </c>
      <c r="Q107" t="s">
        <v>74</v>
      </c>
      <c r="R107" s="3">
        <v>45688</v>
      </c>
      <c r="S107" t="s">
        <v>30</v>
      </c>
      <c r="T107">
        <v>21</v>
      </c>
      <c r="U107" t="s">
        <v>31</v>
      </c>
      <c r="V107">
        <v>5</v>
      </c>
    </row>
    <row r="108" spans="1:22" x14ac:dyDescent="0.3">
      <c r="A108">
        <v>36</v>
      </c>
      <c r="B108">
        <v>2779</v>
      </c>
      <c r="C108" t="s">
        <v>40</v>
      </c>
      <c r="D108" t="s">
        <v>130</v>
      </c>
      <c r="E108" t="s">
        <v>42</v>
      </c>
      <c r="F108" s="3">
        <v>43166</v>
      </c>
      <c r="G108" t="s">
        <v>34</v>
      </c>
      <c r="H108">
        <v>1</v>
      </c>
      <c r="I108" s="3">
        <v>45034</v>
      </c>
      <c r="J108" t="s">
        <v>27</v>
      </c>
      <c r="K108" s="3">
        <v>45687</v>
      </c>
      <c r="L108">
        <f t="shared" ca="1" si="3"/>
        <v>7</v>
      </c>
      <c r="M108" s="3">
        <v>45997</v>
      </c>
      <c r="N108" s="3">
        <v>45334</v>
      </c>
      <c r="O108" s="3">
        <v>45314</v>
      </c>
      <c r="P108" s="3" t="s">
        <v>206</v>
      </c>
      <c r="Q108" t="s">
        <v>74</v>
      </c>
      <c r="R108" s="3">
        <v>45328</v>
      </c>
      <c r="S108" t="s">
        <v>30</v>
      </c>
      <c r="T108">
        <v>21</v>
      </c>
      <c r="U108" t="s">
        <v>31</v>
      </c>
      <c r="V108">
        <v>196</v>
      </c>
    </row>
    <row r="109" spans="1:22" x14ac:dyDescent="0.3">
      <c r="A109">
        <v>37</v>
      </c>
      <c r="B109">
        <v>32062</v>
      </c>
      <c r="C109" t="s">
        <v>40</v>
      </c>
      <c r="D109" t="s">
        <v>132</v>
      </c>
      <c r="E109" t="s">
        <v>25</v>
      </c>
      <c r="F109" s="3">
        <v>41246</v>
      </c>
      <c r="G109" t="s">
        <v>26</v>
      </c>
      <c r="H109">
        <v>6</v>
      </c>
      <c r="I109" s="3">
        <v>45626</v>
      </c>
      <c r="J109" t="s">
        <v>27</v>
      </c>
      <c r="K109" s="3">
        <v>45687</v>
      </c>
      <c r="L109">
        <f t="shared" ca="1" si="3"/>
        <v>13</v>
      </c>
      <c r="M109" s="3">
        <v>45997</v>
      </c>
      <c r="N109" s="3">
        <v>45926</v>
      </c>
      <c r="O109" s="3">
        <v>45906</v>
      </c>
      <c r="P109" s="3" t="s">
        <v>207</v>
      </c>
      <c r="Q109" t="s">
        <v>74</v>
      </c>
      <c r="R109" s="3">
        <v>45695</v>
      </c>
      <c r="S109" t="s">
        <v>208</v>
      </c>
      <c r="T109">
        <v>21</v>
      </c>
      <c r="U109" t="s">
        <v>31</v>
      </c>
      <c r="V109">
        <v>44287</v>
      </c>
    </row>
    <row r="110" spans="1:22" x14ac:dyDescent="0.3">
      <c r="A110">
        <v>38</v>
      </c>
      <c r="B110" t="s">
        <v>277</v>
      </c>
      <c r="C110" t="s">
        <v>26</v>
      </c>
      <c r="D110" t="s">
        <v>135</v>
      </c>
      <c r="E110" t="s">
        <v>25</v>
      </c>
      <c r="F110" s="3">
        <v>42739</v>
      </c>
      <c r="G110" t="s">
        <v>26</v>
      </c>
      <c r="H110">
        <v>2</v>
      </c>
      <c r="I110" s="3">
        <v>45626</v>
      </c>
      <c r="J110" t="s">
        <v>27</v>
      </c>
      <c r="K110" s="3">
        <v>45687</v>
      </c>
      <c r="L110">
        <f t="shared" ca="1" si="3"/>
        <v>9</v>
      </c>
      <c r="M110" s="3">
        <v>45997</v>
      </c>
      <c r="N110" s="3">
        <v>45926</v>
      </c>
      <c r="O110" s="3">
        <v>45906</v>
      </c>
      <c r="P110" s="3" t="s">
        <v>197</v>
      </c>
      <c r="Q110" t="s">
        <v>74</v>
      </c>
      <c r="R110" s="3">
        <v>45696</v>
      </c>
      <c r="S110" t="s">
        <v>94</v>
      </c>
      <c r="T110">
        <v>21</v>
      </c>
      <c r="U110" t="s">
        <v>31</v>
      </c>
      <c r="V110">
        <v>6.7166666666666668</v>
      </c>
    </row>
    <row r="111" spans="1:22" x14ac:dyDescent="0.3">
      <c r="A111">
        <v>39</v>
      </c>
      <c r="B111">
        <v>3807</v>
      </c>
      <c r="C111" t="s">
        <v>26</v>
      </c>
      <c r="D111" t="s">
        <v>136</v>
      </c>
      <c r="E111" t="s">
        <v>42</v>
      </c>
      <c r="F111" s="3">
        <v>43118</v>
      </c>
      <c r="G111" t="s">
        <v>26</v>
      </c>
      <c r="H111">
        <v>3</v>
      </c>
      <c r="I111" s="3">
        <v>45626</v>
      </c>
      <c r="J111" t="s">
        <v>27</v>
      </c>
      <c r="K111" s="3">
        <v>45687</v>
      </c>
      <c r="L111">
        <f t="shared" ca="1" si="3"/>
        <v>8</v>
      </c>
      <c r="M111" s="3">
        <v>45997</v>
      </c>
      <c r="N111" s="3">
        <v>45926</v>
      </c>
      <c r="O111" s="3">
        <v>45906</v>
      </c>
      <c r="P111" s="3" t="s">
        <v>209</v>
      </c>
      <c r="Q111" t="s">
        <v>74</v>
      </c>
      <c r="R111" s="3">
        <v>45697</v>
      </c>
      <c r="S111" t="s">
        <v>30</v>
      </c>
      <c r="T111">
        <v>21</v>
      </c>
      <c r="U111" t="s">
        <v>31</v>
      </c>
      <c r="V111">
        <v>6</v>
      </c>
    </row>
    <row r="112" spans="1:22" x14ac:dyDescent="0.3">
      <c r="A112">
        <v>41</v>
      </c>
      <c r="B112" t="s">
        <v>280</v>
      </c>
      <c r="C112" t="s">
        <v>26</v>
      </c>
      <c r="D112" t="s">
        <v>140</v>
      </c>
      <c r="E112" t="s">
        <v>42</v>
      </c>
      <c r="F112" s="3">
        <v>43142</v>
      </c>
      <c r="G112" t="s">
        <v>26</v>
      </c>
      <c r="H112">
        <v>2</v>
      </c>
      <c r="I112" s="3">
        <v>45609</v>
      </c>
      <c r="J112" t="s">
        <v>27</v>
      </c>
      <c r="K112" s="3">
        <v>45687</v>
      </c>
      <c r="L112">
        <f t="shared" ca="1" si="3"/>
        <v>8</v>
      </c>
      <c r="M112" s="3">
        <v>45892</v>
      </c>
      <c r="N112" s="3">
        <v>45909</v>
      </c>
      <c r="O112" s="3">
        <v>45889</v>
      </c>
      <c r="P112" s="3" t="s">
        <v>210</v>
      </c>
      <c r="Q112" t="s">
        <v>74</v>
      </c>
      <c r="R112" s="3">
        <v>45690</v>
      </c>
      <c r="S112" t="s">
        <v>30</v>
      </c>
      <c r="T112">
        <v>23</v>
      </c>
      <c r="U112" t="s">
        <v>45</v>
      </c>
      <c r="V112">
        <v>0</v>
      </c>
    </row>
    <row r="113" spans="1:22" x14ac:dyDescent="0.3">
      <c r="A113">
        <v>42</v>
      </c>
      <c r="B113">
        <v>980</v>
      </c>
      <c r="C113" t="s">
        <v>40</v>
      </c>
      <c r="D113" t="s">
        <v>143</v>
      </c>
      <c r="E113" t="s">
        <v>42</v>
      </c>
      <c r="F113" s="3">
        <v>43178</v>
      </c>
      <c r="G113" t="s">
        <v>34</v>
      </c>
      <c r="H113">
        <v>1</v>
      </c>
      <c r="I113" s="3">
        <v>45339</v>
      </c>
      <c r="J113" t="s">
        <v>35</v>
      </c>
      <c r="K113" s="3">
        <v>45687</v>
      </c>
      <c r="L113">
        <f t="shared" ca="1" si="3"/>
        <v>7</v>
      </c>
      <c r="M113" s="3">
        <v>45997</v>
      </c>
      <c r="N113" s="3">
        <v>45639</v>
      </c>
      <c r="O113" s="3">
        <v>45619</v>
      </c>
      <c r="P113" s="3" t="s">
        <v>211</v>
      </c>
      <c r="Q113" t="s">
        <v>87</v>
      </c>
      <c r="R113" s="3">
        <v>45660</v>
      </c>
      <c r="S113" t="s">
        <v>94</v>
      </c>
      <c r="T113">
        <v>21</v>
      </c>
      <c r="U113" t="s">
        <v>31</v>
      </c>
      <c r="V113">
        <v>5.166666666666667</v>
      </c>
    </row>
    <row r="114" spans="1:22" x14ac:dyDescent="0.3">
      <c r="A114">
        <v>46</v>
      </c>
      <c r="B114">
        <v>74</v>
      </c>
      <c r="C114" t="s">
        <v>145</v>
      </c>
      <c r="D114" t="s">
        <v>146</v>
      </c>
      <c r="E114" t="s">
        <v>42</v>
      </c>
      <c r="F114" s="3">
        <v>43171</v>
      </c>
      <c r="G114" t="s">
        <v>26</v>
      </c>
      <c r="H114">
        <v>3</v>
      </c>
      <c r="I114" s="3">
        <v>45656</v>
      </c>
      <c r="J114" t="s">
        <v>27</v>
      </c>
      <c r="K114" s="3">
        <v>45687</v>
      </c>
      <c r="L114">
        <f t="shared" ca="1" si="3"/>
        <v>7</v>
      </c>
      <c r="M114" s="3">
        <v>45997</v>
      </c>
      <c r="N114" s="3">
        <v>45956</v>
      </c>
      <c r="O114" s="3">
        <v>44795</v>
      </c>
      <c r="P114" s="3" t="s">
        <v>212</v>
      </c>
      <c r="Q114" t="s">
        <v>74</v>
      </c>
      <c r="R114" s="3">
        <v>45712</v>
      </c>
      <c r="S114" t="s">
        <v>30</v>
      </c>
      <c r="T114">
        <v>21</v>
      </c>
      <c r="U114" t="s">
        <v>31</v>
      </c>
      <c r="V114">
        <v>196</v>
      </c>
    </row>
    <row r="115" spans="1:22" x14ac:dyDescent="0.3">
      <c r="A115">
        <v>48</v>
      </c>
      <c r="B115">
        <v>999</v>
      </c>
      <c r="C115" t="s">
        <v>40</v>
      </c>
      <c r="D115" t="s">
        <v>148</v>
      </c>
      <c r="E115" t="s">
        <v>25</v>
      </c>
      <c r="F115" s="3">
        <v>43559</v>
      </c>
      <c r="G115" t="s">
        <v>34</v>
      </c>
      <c r="H115">
        <v>1</v>
      </c>
      <c r="I115" s="3">
        <v>45427</v>
      </c>
      <c r="J115" t="s">
        <v>27</v>
      </c>
      <c r="K115" s="3">
        <v>45687</v>
      </c>
      <c r="L115">
        <f t="shared" ca="1" si="3"/>
        <v>6</v>
      </c>
      <c r="M115" s="3">
        <v>45997</v>
      </c>
      <c r="N115" s="3">
        <v>45727</v>
      </c>
      <c r="O115" s="3">
        <v>44796</v>
      </c>
      <c r="P115" s="3" t="s">
        <v>213</v>
      </c>
      <c r="Q115" t="s">
        <v>74</v>
      </c>
      <c r="R115" s="3">
        <v>45717</v>
      </c>
      <c r="S115" t="s">
        <v>208</v>
      </c>
      <c r="T115">
        <v>21</v>
      </c>
      <c r="U115" t="s">
        <v>31</v>
      </c>
      <c r="V115">
        <v>0</v>
      </c>
    </row>
    <row r="116" spans="1:22" x14ac:dyDescent="0.3">
      <c r="A116">
        <v>3</v>
      </c>
      <c r="B116" t="s">
        <v>214</v>
      </c>
      <c r="C116" t="s">
        <v>26</v>
      </c>
      <c r="D116" t="s">
        <v>161</v>
      </c>
      <c r="E116" t="s">
        <v>42</v>
      </c>
      <c r="F116" s="3">
        <v>41435</v>
      </c>
      <c r="G116" t="s">
        <v>34</v>
      </c>
      <c r="H116">
        <v>2</v>
      </c>
      <c r="I116" s="3">
        <v>44237</v>
      </c>
      <c r="J116" t="s">
        <v>27</v>
      </c>
      <c r="K116" s="3">
        <v>45690</v>
      </c>
      <c r="L116">
        <f t="shared" ca="1" si="3"/>
        <v>12</v>
      </c>
      <c r="M116" s="3">
        <v>44517</v>
      </c>
      <c r="N116" s="3">
        <v>44537</v>
      </c>
      <c r="O116" s="3">
        <v>44797</v>
      </c>
      <c r="P116" s="3" t="s">
        <v>215</v>
      </c>
      <c r="Q116" t="s">
        <v>56</v>
      </c>
      <c r="R116" s="3">
        <v>44237</v>
      </c>
      <c r="S116" t="s">
        <v>138</v>
      </c>
      <c r="T116">
        <v>21</v>
      </c>
      <c r="V116">
        <v>0</v>
      </c>
    </row>
    <row r="117" spans="1:22" x14ac:dyDescent="0.3">
      <c r="A117">
        <v>5</v>
      </c>
      <c r="B117">
        <v>50005</v>
      </c>
      <c r="C117" t="s">
        <v>23</v>
      </c>
      <c r="D117" t="s">
        <v>24</v>
      </c>
      <c r="E117" t="s">
        <v>25</v>
      </c>
      <c r="F117" s="3">
        <v>43177</v>
      </c>
      <c r="G117" t="s">
        <v>34</v>
      </c>
      <c r="H117">
        <v>1</v>
      </c>
      <c r="I117" s="3">
        <v>44547</v>
      </c>
      <c r="J117" t="s">
        <v>35</v>
      </c>
      <c r="K117" s="3">
        <v>45692</v>
      </c>
      <c r="L117">
        <f t="shared" ca="1" si="3"/>
        <v>7</v>
      </c>
      <c r="M117" s="3">
        <v>44827</v>
      </c>
      <c r="N117" s="3">
        <v>44847</v>
      </c>
      <c r="O117" s="3">
        <v>45107</v>
      </c>
      <c r="P117" s="3" t="s">
        <v>216</v>
      </c>
      <c r="Q117" t="s">
        <v>56</v>
      </c>
      <c r="R117" s="3">
        <v>44547</v>
      </c>
      <c r="S117" t="s">
        <v>30</v>
      </c>
      <c r="T117">
        <v>21</v>
      </c>
      <c r="V117">
        <v>5</v>
      </c>
    </row>
    <row r="118" spans="1:22" x14ac:dyDescent="0.3">
      <c r="A118">
        <v>7</v>
      </c>
      <c r="B118" t="s">
        <v>175</v>
      </c>
      <c r="C118" t="s">
        <v>40</v>
      </c>
      <c r="D118" t="s">
        <v>176</v>
      </c>
      <c r="E118" t="s">
        <v>42</v>
      </c>
      <c r="F118" s="3">
        <v>41524</v>
      </c>
      <c r="G118" t="s">
        <v>34</v>
      </c>
      <c r="H118">
        <v>3</v>
      </c>
      <c r="I118" s="3">
        <v>44606</v>
      </c>
      <c r="J118" t="s">
        <v>35</v>
      </c>
      <c r="K118" s="3">
        <v>45694</v>
      </c>
      <c r="L118">
        <f t="shared" ca="1" si="3"/>
        <v>12</v>
      </c>
      <c r="M118" s="3">
        <v>44886</v>
      </c>
      <c r="N118" s="3">
        <v>44906</v>
      </c>
      <c r="O118" s="3">
        <v>45166</v>
      </c>
      <c r="P118" s="3" t="s">
        <v>217</v>
      </c>
      <c r="Q118" t="s">
        <v>56</v>
      </c>
      <c r="R118" s="3">
        <v>44606</v>
      </c>
      <c r="S118" t="s">
        <v>94</v>
      </c>
      <c r="T118">
        <v>21</v>
      </c>
      <c r="V118">
        <v>5</v>
      </c>
    </row>
    <row r="119" spans="1:22" x14ac:dyDescent="0.3">
      <c r="A119">
        <v>8</v>
      </c>
      <c r="B119" t="s">
        <v>218</v>
      </c>
      <c r="C119" t="s">
        <v>26</v>
      </c>
      <c r="D119" t="s">
        <v>219</v>
      </c>
      <c r="E119" t="s">
        <v>25</v>
      </c>
      <c r="F119" s="3">
        <v>41188</v>
      </c>
      <c r="G119" t="s">
        <v>34</v>
      </c>
      <c r="H119">
        <v>5</v>
      </c>
      <c r="I119" s="3">
        <v>44696</v>
      </c>
      <c r="J119" t="s">
        <v>27</v>
      </c>
      <c r="K119" s="3">
        <v>45695</v>
      </c>
      <c r="L119">
        <f t="shared" ca="1" si="3"/>
        <v>13</v>
      </c>
      <c r="M119" s="3">
        <v>44977</v>
      </c>
      <c r="N119" s="3">
        <v>44996</v>
      </c>
      <c r="O119" s="3">
        <v>45257</v>
      </c>
      <c r="P119" s="3" t="s">
        <v>220</v>
      </c>
      <c r="Q119" t="s">
        <v>56</v>
      </c>
      <c r="R119" s="3">
        <v>44696</v>
      </c>
      <c r="S119" t="s">
        <v>94</v>
      </c>
      <c r="T119">
        <v>21</v>
      </c>
      <c r="V119">
        <v>0</v>
      </c>
    </row>
    <row r="120" spans="1:22" x14ac:dyDescent="0.3">
      <c r="A120">
        <v>9</v>
      </c>
      <c r="B120" t="s">
        <v>221</v>
      </c>
      <c r="C120" t="s">
        <v>40</v>
      </c>
      <c r="D120" t="s">
        <v>222</v>
      </c>
      <c r="E120" t="s">
        <v>25</v>
      </c>
      <c r="F120" s="3">
        <v>41463</v>
      </c>
      <c r="G120" t="s">
        <v>34</v>
      </c>
      <c r="H120">
        <v>4</v>
      </c>
      <c r="I120" s="3">
        <v>44722</v>
      </c>
      <c r="J120" t="s">
        <v>35</v>
      </c>
      <c r="K120" s="3">
        <v>45696</v>
      </c>
      <c r="L120">
        <f t="shared" ca="1" si="3"/>
        <v>12</v>
      </c>
      <c r="M120" s="3">
        <v>45002</v>
      </c>
      <c r="N120" s="3">
        <v>45022</v>
      </c>
      <c r="O120" s="3">
        <v>45282</v>
      </c>
      <c r="P120" s="3" t="s">
        <v>223</v>
      </c>
      <c r="Q120" t="s">
        <v>56</v>
      </c>
      <c r="R120" s="3">
        <v>44722</v>
      </c>
      <c r="S120" t="s">
        <v>30</v>
      </c>
      <c r="T120">
        <v>24</v>
      </c>
      <c r="V120">
        <v>0</v>
      </c>
    </row>
    <row r="121" spans="1:22" x14ac:dyDescent="0.3">
      <c r="A121">
        <v>10</v>
      </c>
      <c r="B121" t="s">
        <v>178</v>
      </c>
      <c r="C121" t="s">
        <v>40</v>
      </c>
      <c r="D121" t="s">
        <v>179</v>
      </c>
      <c r="E121" t="s">
        <v>42</v>
      </c>
      <c r="F121" s="3">
        <v>41565</v>
      </c>
      <c r="G121" t="s">
        <v>34</v>
      </c>
      <c r="H121">
        <v>4</v>
      </c>
      <c r="I121" s="3">
        <v>44770</v>
      </c>
      <c r="J121" t="s">
        <v>35</v>
      </c>
      <c r="K121" s="3">
        <v>45697</v>
      </c>
      <c r="L121">
        <f t="shared" ca="1" si="3"/>
        <v>12</v>
      </c>
      <c r="M121" s="3">
        <v>45051</v>
      </c>
      <c r="N121" s="3">
        <v>45070</v>
      </c>
      <c r="O121" s="3">
        <v>45331</v>
      </c>
      <c r="P121" s="3" t="s">
        <v>224</v>
      </c>
      <c r="Q121" t="s">
        <v>56</v>
      </c>
      <c r="R121" s="3">
        <v>44770</v>
      </c>
      <c r="S121" t="s">
        <v>30</v>
      </c>
      <c r="T121">
        <v>26</v>
      </c>
      <c r="V121">
        <v>150</v>
      </c>
    </row>
    <row r="122" spans="1:22" x14ac:dyDescent="0.3">
      <c r="A122">
        <v>11</v>
      </c>
      <c r="B122" t="s">
        <v>181</v>
      </c>
      <c r="C122" t="s">
        <v>40</v>
      </c>
      <c r="D122" t="s">
        <v>182</v>
      </c>
      <c r="E122" t="s">
        <v>42</v>
      </c>
      <c r="F122" s="3">
        <v>41156</v>
      </c>
      <c r="G122" t="s">
        <v>26</v>
      </c>
      <c r="H122">
        <v>5</v>
      </c>
      <c r="I122" s="3">
        <v>44772</v>
      </c>
      <c r="J122" t="s">
        <v>27</v>
      </c>
      <c r="K122" s="3">
        <v>45153</v>
      </c>
      <c r="L122">
        <f t="shared" ca="1" si="3"/>
        <v>13</v>
      </c>
      <c r="M122" s="3">
        <v>45052</v>
      </c>
      <c r="N122" s="3">
        <v>45072</v>
      </c>
      <c r="O122" s="3">
        <v>45332</v>
      </c>
      <c r="P122" s="3" t="s">
        <v>225</v>
      </c>
      <c r="Q122" t="s">
        <v>56</v>
      </c>
      <c r="R122" s="3">
        <v>44772</v>
      </c>
      <c r="S122" t="s">
        <v>94</v>
      </c>
      <c r="T122">
        <v>21</v>
      </c>
      <c r="V122">
        <v>0</v>
      </c>
    </row>
    <row r="123" spans="1:22" x14ac:dyDescent="0.3">
      <c r="A123">
        <v>13</v>
      </c>
      <c r="B123">
        <v>60019</v>
      </c>
      <c r="C123" t="s">
        <v>40</v>
      </c>
      <c r="D123" t="s">
        <v>47</v>
      </c>
      <c r="E123" t="s">
        <v>42</v>
      </c>
      <c r="F123" s="3">
        <v>41496</v>
      </c>
      <c r="G123" t="s">
        <v>34</v>
      </c>
      <c r="H123">
        <v>5</v>
      </c>
      <c r="I123" s="3">
        <v>44779</v>
      </c>
      <c r="J123" t="s">
        <v>35</v>
      </c>
      <c r="K123" s="3">
        <v>45155</v>
      </c>
      <c r="L123">
        <f t="shared" ca="1" si="3"/>
        <v>12</v>
      </c>
      <c r="M123" s="3">
        <v>45059</v>
      </c>
      <c r="N123" s="3">
        <v>45079</v>
      </c>
      <c r="O123" s="3">
        <v>45339</v>
      </c>
      <c r="P123" s="3" t="s">
        <v>226</v>
      </c>
      <c r="Q123" t="s">
        <v>56</v>
      </c>
      <c r="R123" s="3">
        <v>44779</v>
      </c>
      <c r="S123" t="s">
        <v>30</v>
      </c>
      <c r="T123">
        <v>21</v>
      </c>
      <c r="V123">
        <v>186</v>
      </c>
    </row>
    <row r="124" spans="1:22" x14ac:dyDescent="0.3">
      <c r="A124">
        <v>14</v>
      </c>
      <c r="B124">
        <v>470309</v>
      </c>
      <c r="C124" t="s">
        <v>26</v>
      </c>
      <c r="D124" t="s">
        <v>50</v>
      </c>
      <c r="E124" t="s">
        <v>42</v>
      </c>
      <c r="F124" s="3">
        <v>42800</v>
      </c>
      <c r="G124" t="s">
        <v>26</v>
      </c>
      <c r="H124">
        <v>1</v>
      </c>
      <c r="I124" s="3">
        <v>44781</v>
      </c>
      <c r="J124" t="s">
        <v>27</v>
      </c>
      <c r="K124" s="3">
        <v>45156</v>
      </c>
      <c r="L124">
        <f t="shared" ca="1" si="3"/>
        <v>8</v>
      </c>
      <c r="M124" s="3">
        <v>45061</v>
      </c>
      <c r="N124" s="3">
        <v>45081</v>
      </c>
      <c r="O124" s="3">
        <v>45341</v>
      </c>
      <c r="P124" s="3" t="s">
        <v>227</v>
      </c>
      <c r="Q124" t="s">
        <v>56</v>
      </c>
      <c r="R124" s="3">
        <v>44781</v>
      </c>
      <c r="S124" t="s">
        <v>30</v>
      </c>
      <c r="T124">
        <v>21</v>
      </c>
      <c r="V124">
        <v>3.5</v>
      </c>
    </row>
    <row r="125" spans="1:22" x14ac:dyDescent="0.3">
      <c r="A125">
        <v>16</v>
      </c>
      <c r="B125">
        <v>20022</v>
      </c>
      <c r="C125" t="s">
        <v>40</v>
      </c>
      <c r="D125" t="s">
        <v>54</v>
      </c>
      <c r="E125" t="s">
        <v>42</v>
      </c>
      <c r="F125" s="3">
        <v>41526</v>
      </c>
      <c r="G125" t="s">
        <v>34</v>
      </c>
      <c r="H125">
        <v>4</v>
      </c>
      <c r="I125" s="3">
        <v>44846</v>
      </c>
      <c r="J125" t="s">
        <v>35</v>
      </c>
      <c r="K125" s="3">
        <v>45158</v>
      </c>
      <c r="L125">
        <f t="shared" ca="1" si="3"/>
        <v>12</v>
      </c>
      <c r="M125" s="3">
        <v>45126</v>
      </c>
      <c r="N125" s="3">
        <v>45146</v>
      </c>
      <c r="O125" s="3">
        <v>45406</v>
      </c>
      <c r="P125" s="3" t="s">
        <v>228</v>
      </c>
      <c r="Q125" t="s">
        <v>56</v>
      </c>
      <c r="R125" s="3">
        <v>44846</v>
      </c>
      <c r="S125" t="s">
        <v>94</v>
      </c>
      <c r="T125">
        <v>21</v>
      </c>
      <c r="V125">
        <v>201.5</v>
      </c>
    </row>
    <row r="126" spans="1:22" x14ac:dyDescent="0.3">
      <c r="A126">
        <v>17</v>
      </c>
      <c r="B126">
        <v>4913</v>
      </c>
      <c r="C126" t="s">
        <v>40</v>
      </c>
      <c r="D126" t="s">
        <v>58</v>
      </c>
      <c r="E126" t="s">
        <v>42</v>
      </c>
      <c r="F126" s="3">
        <v>41436</v>
      </c>
      <c r="G126" t="s">
        <v>26</v>
      </c>
      <c r="H126">
        <v>3</v>
      </c>
      <c r="I126" s="3">
        <v>44867</v>
      </c>
      <c r="J126" t="s">
        <v>35</v>
      </c>
      <c r="K126" s="3">
        <v>45159</v>
      </c>
      <c r="L126">
        <f t="shared" ca="1" si="3"/>
        <v>12</v>
      </c>
      <c r="M126" s="3">
        <v>45147</v>
      </c>
      <c r="N126" s="3">
        <v>45167</v>
      </c>
      <c r="O126" s="3">
        <v>45427</v>
      </c>
      <c r="P126" s="3" t="s">
        <v>229</v>
      </c>
      <c r="Q126" t="s">
        <v>56</v>
      </c>
      <c r="R126" s="3">
        <v>44867</v>
      </c>
      <c r="S126" t="s">
        <v>138</v>
      </c>
      <c r="T126">
        <v>21</v>
      </c>
      <c r="V126">
        <v>0</v>
      </c>
    </row>
    <row r="127" spans="1:22" x14ac:dyDescent="0.3">
      <c r="A127">
        <v>18</v>
      </c>
      <c r="B127" t="s">
        <v>230</v>
      </c>
      <c r="C127" t="s">
        <v>26</v>
      </c>
      <c r="D127" t="s">
        <v>231</v>
      </c>
      <c r="E127" t="s">
        <v>42</v>
      </c>
      <c r="F127" s="3">
        <v>41192</v>
      </c>
      <c r="G127" t="s">
        <v>34</v>
      </c>
      <c r="H127">
        <v>4</v>
      </c>
      <c r="I127" s="3">
        <v>44878</v>
      </c>
      <c r="J127" t="s">
        <v>27</v>
      </c>
      <c r="K127" s="3">
        <v>45160</v>
      </c>
      <c r="L127">
        <f t="shared" ca="1" si="3"/>
        <v>13</v>
      </c>
      <c r="M127" s="3">
        <v>45158</v>
      </c>
      <c r="N127" s="3">
        <v>45178</v>
      </c>
      <c r="O127" s="3">
        <v>45438</v>
      </c>
      <c r="P127" s="3" t="s">
        <v>232</v>
      </c>
      <c r="Q127" t="s">
        <v>56</v>
      </c>
      <c r="R127" s="3">
        <v>44878</v>
      </c>
      <c r="S127" t="s">
        <v>30</v>
      </c>
      <c r="T127">
        <v>21</v>
      </c>
      <c r="V127">
        <v>75</v>
      </c>
    </row>
    <row r="128" spans="1:22" x14ac:dyDescent="0.3">
      <c r="A128">
        <v>19</v>
      </c>
      <c r="B128" t="s">
        <v>233</v>
      </c>
      <c r="C128" t="s">
        <v>26</v>
      </c>
      <c r="D128" t="s">
        <v>234</v>
      </c>
      <c r="E128" t="s">
        <v>25</v>
      </c>
      <c r="F128" s="3">
        <v>41395</v>
      </c>
      <c r="G128" t="s">
        <v>34</v>
      </c>
      <c r="H128">
        <v>5</v>
      </c>
      <c r="I128" s="3">
        <v>44884</v>
      </c>
      <c r="J128" t="s">
        <v>35</v>
      </c>
      <c r="K128" s="3">
        <v>45161</v>
      </c>
      <c r="L128">
        <f t="shared" ca="1" si="3"/>
        <v>12</v>
      </c>
      <c r="M128" s="3">
        <v>45164</v>
      </c>
      <c r="N128" s="3">
        <v>45184</v>
      </c>
      <c r="O128" s="3">
        <v>45444</v>
      </c>
      <c r="P128" s="3" t="s">
        <v>235</v>
      </c>
      <c r="Q128" t="s">
        <v>56</v>
      </c>
      <c r="R128" s="3">
        <v>44884</v>
      </c>
      <c r="S128" t="s">
        <v>138</v>
      </c>
      <c r="T128">
        <v>21</v>
      </c>
      <c r="V128">
        <v>0</v>
      </c>
    </row>
    <row r="129" spans="1:22" x14ac:dyDescent="0.3">
      <c r="A129">
        <v>20</v>
      </c>
      <c r="B129">
        <v>4926</v>
      </c>
      <c r="C129" t="s">
        <v>40</v>
      </c>
      <c r="D129" t="s">
        <v>61</v>
      </c>
      <c r="E129" t="s">
        <v>42</v>
      </c>
      <c r="F129" s="3">
        <v>41477</v>
      </c>
      <c r="G129" t="s">
        <v>26</v>
      </c>
      <c r="H129">
        <v>4</v>
      </c>
      <c r="I129" s="3">
        <v>44889</v>
      </c>
      <c r="J129" t="s">
        <v>35</v>
      </c>
      <c r="K129" s="3">
        <v>45162</v>
      </c>
      <c r="L129">
        <f t="shared" ca="1" si="3"/>
        <v>12</v>
      </c>
      <c r="M129" s="3">
        <v>45169</v>
      </c>
      <c r="N129" s="3">
        <v>45189</v>
      </c>
      <c r="O129" s="3">
        <v>45449</v>
      </c>
      <c r="P129" s="3" t="s">
        <v>236</v>
      </c>
      <c r="Q129" t="s">
        <v>56</v>
      </c>
      <c r="R129" s="3">
        <v>44889</v>
      </c>
      <c r="S129" t="s">
        <v>138</v>
      </c>
      <c r="T129">
        <v>21</v>
      </c>
      <c r="V129">
        <v>1897.5</v>
      </c>
    </row>
    <row r="130" spans="1:22" x14ac:dyDescent="0.3">
      <c r="A130">
        <v>21</v>
      </c>
      <c r="B130">
        <v>3280</v>
      </c>
      <c r="C130" t="s">
        <v>26</v>
      </c>
      <c r="D130" t="s">
        <v>65</v>
      </c>
      <c r="E130" t="s">
        <v>25</v>
      </c>
      <c r="F130" s="3">
        <v>40704</v>
      </c>
      <c r="G130" t="s">
        <v>26</v>
      </c>
      <c r="H130">
        <v>5</v>
      </c>
      <c r="I130" s="3">
        <v>44891</v>
      </c>
      <c r="J130" t="s">
        <v>35</v>
      </c>
      <c r="K130" s="3">
        <v>45162</v>
      </c>
      <c r="L130">
        <f t="shared" ca="1" si="3"/>
        <v>14</v>
      </c>
      <c r="M130" s="3">
        <v>45171</v>
      </c>
      <c r="N130" s="3">
        <v>45191</v>
      </c>
      <c r="O130" s="3">
        <v>45451</v>
      </c>
      <c r="P130" s="3" t="s">
        <v>237</v>
      </c>
      <c r="Q130" t="s">
        <v>56</v>
      </c>
      <c r="R130" s="3">
        <v>44891</v>
      </c>
      <c r="S130" t="s">
        <v>30</v>
      </c>
      <c r="T130">
        <v>21</v>
      </c>
      <c r="V130">
        <v>240</v>
      </c>
    </row>
    <row r="131" spans="1:22" x14ac:dyDescent="0.3">
      <c r="A131">
        <v>22</v>
      </c>
      <c r="B131">
        <v>3986</v>
      </c>
      <c r="C131" t="s">
        <v>40</v>
      </c>
      <c r="D131" t="s">
        <v>68</v>
      </c>
      <c r="E131" t="s">
        <v>42</v>
      </c>
      <c r="F131" s="3">
        <v>41319</v>
      </c>
      <c r="G131" t="s">
        <v>26</v>
      </c>
      <c r="H131">
        <v>3</v>
      </c>
      <c r="I131" s="3">
        <v>44901</v>
      </c>
      <c r="J131" t="s">
        <v>27</v>
      </c>
      <c r="K131" s="3">
        <v>45162</v>
      </c>
      <c r="L131">
        <f t="shared" ca="1" si="3"/>
        <v>13</v>
      </c>
      <c r="M131" s="3">
        <v>45201</v>
      </c>
      <c r="N131" s="3">
        <v>45201</v>
      </c>
      <c r="O131" s="3">
        <v>45481</v>
      </c>
      <c r="P131" s="3" t="s">
        <v>238</v>
      </c>
      <c r="Q131" t="s">
        <v>56</v>
      </c>
      <c r="R131" s="3">
        <v>44901</v>
      </c>
      <c r="S131" t="s">
        <v>30</v>
      </c>
      <c r="T131">
        <v>21</v>
      </c>
      <c r="V131">
        <v>0</v>
      </c>
    </row>
    <row r="132" spans="1:22" x14ac:dyDescent="0.3">
      <c r="A132">
        <v>23</v>
      </c>
      <c r="B132">
        <v>60005</v>
      </c>
      <c r="C132" t="s">
        <v>23</v>
      </c>
      <c r="D132" t="s">
        <v>72</v>
      </c>
      <c r="E132" t="s">
        <v>42</v>
      </c>
      <c r="F132" s="3">
        <v>41428</v>
      </c>
      <c r="G132" t="s">
        <v>26</v>
      </c>
      <c r="H132">
        <v>5</v>
      </c>
      <c r="I132" s="3">
        <v>44905</v>
      </c>
      <c r="J132" t="s">
        <v>35</v>
      </c>
      <c r="K132" s="3">
        <v>45162</v>
      </c>
      <c r="L132">
        <f t="shared" ca="1" si="3"/>
        <v>12</v>
      </c>
      <c r="M132" s="3">
        <v>45202</v>
      </c>
      <c r="N132" s="3">
        <v>45205</v>
      </c>
      <c r="O132" s="3">
        <v>45482</v>
      </c>
      <c r="P132" s="3" t="s">
        <v>239</v>
      </c>
      <c r="Q132" t="s">
        <v>56</v>
      </c>
      <c r="R132" s="3">
        <v>44905</v>
      </c>
      <c r="S132" t="s">
        <v>30</v>
      </c>
      <c r="T132">
        <v>21</v>
      </c>
      <c r="V132">
        <v>0</v>
      </c>
    </row>
    <row r="133" spans="1:22" x14ac:dyDescent="0.3">
      <c r="A133">
        <v>24</v>
      </c>
      <c r="B133" t="s">
        <v>240</v>
      </c>
      <c r="C133" t="s">
        <v>26</v>
      </c>
      <c r="D133" t="s">
        <v>241</v>
      </c>
      <c r="E133" t="s">
        <v>25</v>
      </c>
      <c r="F133" s="3">
        <v>40909</v>
      </c>
      <c r="G133" t="s">
        <v>26</v>
      </c>
      <c r="H133">
        <v>4</v>
      </c>
      <c r="I133" s="3">
        <v>44909</v>
      </c>
      <c r="J133" t="s">
        <v>35</v>
      </c>
      <c r="K133" s="3">
        <v>45162</v>
      </c>
      <c r="L133">
        <f t="shared" ca="1" si="3"/>
        <v>14</v>
      </c>
      <c r="M133" s="3">
        <v>45203</v>
      </c>
      <c r="N133" s="3">
        <v>45209</v>
      </c>
      <c r="O133" s="3">
        <v>45483</v>
      </c>
      <c r="P133" s="3" t="s">
        <v>242</v>
      </c>
      <c r="Q133" t="s">
        <v>74</v>
      </c>
      <c r="R133" s="3">
        <v>44909</v>
      </c>
      <c r="S133" t="s">
        <v>94</v>
      </c>
      <c r="T133">
        <v>26</v>
      </c>
      <c r="V133">
        <v>0</v>
      </c>
    </row>
    <row r="134" spans="1:22" x14ac:dyDescent="0.3">
      <c r="A134">
        <v>25</v>
      </c>
      <c r="B134">
        <v>40002</v>
      </c>
      <c r="C134" t="s">
        <v>23</v>
      </c>
      <c r="D134" t="s">
        <v>78</v>
      </c>
      <c r="E134" t="s">
        <v>25</v>
      </c>
      <c r="F134" s="3">
        <v>41826</v>
      </c>
      <c r="G134" t="s">
        <v>26</v>
      </c>
      <c r="H134">
        <v>3</v>
      </c>
      <c r="I134" s="3">
        <v>44915</v>
      </c>
      <c r="J134" t="s">
        <v>27</v>
      </c>
      <c r="K134" s="3">
        <v>45162</v>
      </c>
      <c r="L134">
        <f t="shared" ca="1" si="3"/>
        <v>11</v>
      </c>
      <c r="M134" s="3">
        <v>45207</v>
      </c>
      <c r="N134" s="3">
        <v>45215</v>
      </c>
      <c r="O134" s="3">
        <v>45487</v>
      </c>
      <c r="P134" s="3" t="s">
        <v>243</v>
      </c>
      <c r="Q134" t="s">
        <v>56</v>
      </c>
      <c r="R134" s="3">
        <v>44915</v>
      </c>
      <c r="S134" t="s">
        <v>94</v>
      </c>
      <c r="T134">
        <v>21</v>
      </c>
      <c r="V134">
        <v>6</v>
      </c>
    </row>
    <row r="135" spans="1:22" x14ac:dyDescent="0.3">
      <c r="A135">
        <v>26</v>
      </c>
      <c r="B135">
        <v>3907</v>
      </c>
      <c r="C135" t="s">
        <v>40</v>
      </c>
      <c r="D135" t="s">
        <v>81</v>
      </c>
      <c r="E135" t="s">
        <v>42</v>
      </c>
      <c r="F135" s="3">
        <v>41431</v>
      </c>
      <c r="G135" t="s">
        <v>34</v>
      </c>
      <c r="H135">
        <v>2</v>
      </c>
      <c r="I135" s="3">
        <v>44927</v>
      </c>
      <c r="J135" t="s">
        <v>35</v>
      </c>
      <c r="K135" s="3">
        <v>45162</v>
      </c>
      <c r="L135">
        <f t="shared" ca="1" si="3"/>
        <v>12</v>
      </c>
      <c r="M135" s="3">
        <v>45208</v>
      </c>
      <c r="N135" s="3">
        <v>45227</v>
      </c>
      <c r="O135" s="3">
        <v>45488</v>
      </c>
      <c r="P135" s="3" t="s">
        <v>244</v>
      </c>
      <c r="Q135" t="s">
        <v>56</v>
      </c>
      <c r="R135" s="3">
        <v>44927</v>
      </c>
      <c r="S135" t="s">
        <v>94</v>
      </c>
      <c r="T135">
        <v>21</v>
      </c>
      <c r="V135">
        <v>5</v>
      </c>
    </row>
    <row r="136" spans="1:22" x14ac:dyDescent="0.3">
      <c r="A136">
        <v>28</v>
      </c>
      <c r="B136" t="s">
        <v>245</v>
      </c>
      <c r="C136" t="s">
        <v>26</v>
      </c>
      <c r="D136" t="s">
        <v>246</v>
      </c>
      <c r="E136" t="s">
        <v>25</v>
      </c>
      <c r="F136" s="3">
        <v>40909</v>
      </c>
      <c r="G136" t="s">
        <v>34</v>
      </c>
      <c r="H136">
        <v>5</v>
      </c>
      <c r="I136" s="3">
        <v>44940</v>
      </c>
      <c r="J136" t="s">
        <v>27</v>
      </c>
      <c r="K136" s="3">
        <v>45162</v>
      </c>
      <c r="L136">
        <f t="shared" ca="1" si="3"/>
        <v>14</v>
      </c>
      <c r="M136" s="3">
        <v>45224</v>
      </c>
      <c r="N136" s="3">
        <v>45240</v>
      </c>
      <c r="O136" s="3">
        <v>45504</v>
      </c>
      <c r="P136" s="3" t="s">
        <v>247</v>
      </c>
      <c r="Q136" t="s">
        <v>56</v>
      </c>
      <c r="R136" s="3">
        <v>44940</v>
      </c>
      <c r="S136" t="s">
        <v>30</v>
      </c>
      <c r="T136">
        <v>21</v>
      </c>
      <c r="V136">
        <v>0</v>
      </c>
    </row>
    <row r="137" spans="1:22" x14ac:dyDescent="0.3">
      <c r="A137">
        <v>29</v>
      </c>
      <c r="B137" t="s">
        <v>266</v>
      </c>
      <c r="C137" t="s">
        <v>26</v>
      </c>
      <c r="D137" t="s">
        <v>89</v>
      </c>
      <c r="E137" t="s">
        <v>25</v>
      </c>
      <c r="F137" s="3">
        <v>42751</v>
      </c>
      <c r="G137" t="s">
        <v>26</v>
      </c>
      <c r="H137">
        <v>2</v>
      </c>
      <c r="I137" s="3">
        <v>44944</v>
      </c>
      <c r="J137" t="s">
        <v>35</v>
      </c>
      <c r="K137" s="3">
        <v>45162</v>
      </c>
      <c r="L137">
        <f t="shared" ca="1" si="3"/>
        <v>9</v>
      </c>
      <c r="M137" s="3">
        <v>45225</v>
      </c>
      <c r="N137" s="3">
        <v>45244</v>
      </c>
      <c r="O137" s="3">
        <v>45505</v>
      </c>
      <c r="P137" s="3" t="s">
        <v>248</v>
      </c>
      <c r="Q137" t="s">
        <v>56</v>
      </c>
      <c r="R137" s="3">
        <v>44944</v>
      </c>
      <c r="S137" t="s">
        <v>94</v>
      </c>
      <c r="T137">
        <v>21</v>
      </c>
      <c r="V137">
        <v>1095</v>
      </c>
    </row>
    <row r="138" spans="1:22" x14ac:dyDescent="0.3">
      <c r="A138">
        <v>31</v>
      </c>
      <c r="B138">
        <v>2883</v>
      </c>
      <c r="C138" t="s">
        <v>40</v>
      </c>
      <c r="D138" t="s">
        <v>92</v>
      </c>
      <c r="E138" t="s">
        <v>42</v>
      </c>
      <c r="F138" s="3">
        <v>42020</v>
      </c>
      <c r="G138" t="s">
        <v>34</v>
      </c>
      <c r="H138">
        <v>2</v>
      </c>
      <c r="I138" s="3">
        <v>44953</v>
      </c>
      <c r="J138" t="s">
        <v>35</v>
      </c>
      <c r="K138" s="3">
        <v>45162</v>
      </c>
      <c r="L138">
        <f t="shared" ca="1" si="3"/>
        <v>11</v>
      </c>
      <c r="M138" s="3">
        <v>45279</v>
      </c>
      <c r="N138" s="3">
        <v>45253</v>
      </c>
      <c r="O138" s="3">
        <v>45506</v>
      </c>
      <c r="P138" s="3" t="s">
        <v>249</v>
      </c>
      <c r="Q138" t="s">
        <v>56</v>
      </c>
      <c r="R138" s="3">
        <v>44953</v>
      </c>
      <c r="S138" t="s">
        <v>75</v>
      </c>
      <c r="T138">
        <v>18</v>
      </c>
      <c r="V138">
        <v>0</v>
      </c>
    </row>
    <row r="139" spans="1:22" x14ac:dyDescent="0.3">
      <c r="A139">
        <v>33</v>
      </c>
      <c r="B139">
        <v>3380</v>
      </c>
      <c r="C139" t="s">
        <v>26</v>
      </c>
      <c r="D139" t="s">
        <v>98</v>
      </c>
      <c r="E139" t="s">
        <v>42</v>
      </c>
      <c r="F139" s="3">
        <v>40909</v>
      </c>
      <c r="G139" t="s">
        <v>26</v>
      </c>
      <c r="H139">
        <v>4</v>
      </c>
      <c r="I139" s="3">
        <v>44980</v>
      </c>
      <c r="J139" t="s">
        <v>27</v>
      </c>
      <c r="K139" s="3">
        <v>45162</v>
      </c>
      <c r="L139">
        <f t="shared" ca="1" si="3"/>
        <v>14</v>
      </c>
      <c r="M139" s="3">
        <v>45280</v>
      </c>
      <c r="N139" s="3">
        <v>45280</v>
      </c>
      <c r="O139" s="3">
        <v>45260</v>
      </c>
      <c r="P139" s="3" t="s">
        <v>250</v>
      </c>
      <c r="Q139" t="s">
        <v>74</v>
      </c>
      <c r="R139" s="3">
        <v>44980</v>
      </c>
      <c r="S139" t="s">
        <v>94</v>
      </c>
      <c r="T139">
        <v>21</v>
      </c>
      <c r="V139">
        <v>139.5</v>
      </c>
    </row>
    <row r="140" spans="1:22" x14ac:dyDescent="0.3">
      <c r="A140">
        <v>34</v>
      </c>
      <c r="B140" t="s">
        <v>100</v>
      </c>
      <c r="C140" t="s">
        <v>26</v>
      </c>
      <c r="D140" t="s">
        <v>101</v>
      </c>
      <c r="E140" t="s">
        <v>42</v>
      </c>
      <c r="F140" s="3">
        <v>42912</v>
      </c>
      <c r="G140" t="s">
        <v>26</v>
      </c>
      <c r="H140">
        <v>1</v>
      </c>
      <c r="I140" s="3">
        <v>44983</v>
      </c>
      <c r="J140" t="s">
        <v>27</v>
      </c>
      <c r="K140" s="3">
        <v>45162</v>
      </c>
      <c r="L140">
        <f t="shared" ca="1" si="3"/>
        <v>8</v>
      </c>
      <c r="M140" s="3">
        <v>45283</v>
      </c>
      <c r="N140" s="3">
        <v>45283</v>
      </c>
      <c r="O140" s="3">
        <v>45263</v>
      </c>
      <c r="P140" s="3" t="s">
        <v>251</v>
      </c>
      <c r="Q140" t="s">
        <v>74</v>
      </c>
      <c r="R140" s="3">
        <v>44983</v>
      </c>
      <c r="S140" t="s">
        <v>30</v>
      </c>
      <c r="T140">
        <v>21</v>
      </c>
      <c r="V140">
        <v>0</v>
      </c>
    </row>
    <row r="141" spans="1:22" x14ac:dyDescent="0.3">
      <c r="A141">
        <v>36</v>
      </c>
      <c r="B141">
        <v>3158</v>
      </c>
      <c r="C141" t="s">
        <v>26</v>
      </c>
      <c r="D141" t="s">
        <v>106</v>
      </c>
      <c r="E141" t="s">
        <v>25</v>
      </c>
      <c r="F141" s="3">
        <v>40544</v>
      </c>
      <c r="G141" t="s">
        <v>26</v>
      </c>
      <c r="H141">
        <v>5</v>
      </c>
      <c r="I141" s="3">
        <v>44984</v>
      </c>
      <c r="J141" t="s">
        <v>27</v>
      </c>
      <c r="K141" s="3">
        <v>45162</v>
      </c>
      <c r="L141">
        <f t="shared" ca="1" si="3"/>
        <v>15</v>
      </c>
      <c r="M141" s="3">
        <v>45284</v>
      </c>
      <c r="N141" s="3">
        <v>45284</v>
      </c>
      <c r="O141" s="3">
        <v>45264</v>
      </c>
      <c r="P141" s="3" t="s">
        <v>247</v>
      </c>
      <c r="Q141" t="s">
        <v>74</v>
      </c>
      <c r="R141" s="3">
        <v>44984</v>
      </c>
      <c r="S141" t="s">
        <v>138</v>
      </c>
      <c r="T141">
        <v>21</v>
      </c>
      <c r="V141">
        <v>1882</v>
      </c>
    </row>
    <row r="142" spans="1:22" x14ac:dyDescent="0.3">
      <c r="A142">
        <v>37</v>
      </c>
      <c r="B142" t="s">
        <v>269</v>
      </c>
      <c r="C142" t="s">
        <v>26</v>
      </c>
      <c r="D142" t="s">
        <v>109</v>
      </c>
      <c r="E142" t="s">
        <v>25</v>
      </c>
      <c r="F142" s="3">
        <v>43112</v>
      </c>
      <c r="G142" t="s">
        <v>26</v>
      </c>
      <c r="H142">
        <v>1</v>
      </c>
      <c r="I142" s="3">
        <v>44990</v>
      </c>
      <c r="J142" t="s">
        <v>27</v>
      </c>
      <c r="K142" s="3">
        <v>45162</v>
      </c>
      <c r="L142">
        <f t="shared" ca="1" si="3"/>
        <v>8</v>
      </c>
      <c r="M142" s="3">
        <v>45290</v>
      </c>
      <c r="N142" s="3">
        <v>45290</v>
      </c>
      <c r="O142" s="3">
        <v>45270</v>
      </c>
      <c r="P142" s="3" t="s">
        <v>252</v>
      </c>
      <c r="Q142" t="s">
        <v>70</v>
      </c>
      <c r="R142" s="3">
        <v>44990</v>
      </c>
      <c r="S142" t="s">
        <v>138</v>
      </c>
      <c r="T142">
        <v>21</v>
      </c>
      <c r="V142">
        <v>180</v>
      </c>
    </row>
    <row r="143" spans="1:22" x14ac:dyDescent="0.3">
      <c r="A143">
        <v>38</v>
      </c>
      <c r="B143">
        <v>851</v>
      </c>
      <c r="C143" t="s">
        <v>40</v>
      </c>
      <c r="D143" t="s">
        <v>111</v>
      </c>
      <c r="E143" t="s">
        <v>42</v>
      </c>
      <c r="F143" s="3">
        <v>39094</v>
      </c>
      <c r="G143" t="s">
        <v>26</v>
      </c>
      <c r="H143">
        <v>5</v>
      </c>
      <c r="I143" s="3">
        <v>44990</v>
      </c>
      <c r="J143" t="s">
        <v>27</v>
      </c>
      <c r="K143" s="3">
        <v>45162</v>
      </c>
      <c r="L143">
        <f t="shared" ca="1" si="3"/>
        <v>19</v>
      </c>
      <c r="M143" s="3">
        <v>45290</v>
      </c>
      <c r="N143" s="3">
        <v>45290</v>
      </c>
      <c r="O143" s="3">
        <v>45270</v>
      </c>
      <c r="P143" s="3" t="s">
        <v>252</v>
      </c>
      <c r="Q143" t="s">
        <v>70</v>
      </c>
      <c r="R143" s="3">
        <v>44990</v>
      </c>
      <c r="S143" t="s">
        <v>30</v>
      </c>
      <c r="T143">
        <v>21</v>
      </c>
      <c r="V143">
        <v>0</v>
      </c>
    </row>
    <row r="144" spans="1:22" x14ac:dyDescent="0.3">
      <c r="A144">
        <v>40</v>
      </c>
      <c r="B144">
        <v>15003</v>
      </c>
      <c r="C144" t="s">
        <v>40</v>
      </c>
      <c r="D144" t="s">
        <v>116</v>
      </c>
      <c r="E144" t="s">
        <v>42</v>
      </c>
      <c r="F144" s="3">
        <v>41010</v>
      </c>
      <c r="G144" t="s">
        <v>26</v>
      </c>
      <c r="H144">
        <v>5</v>
      </c>
      <c r="I144" s="3">
        <v>45000</v>
      </c>
      <c r="J144" t="s">
        <v>35</v>
      </c>
      <c r="K144" s="3">
        <v>45162</v>
      </c>
      <c r="L144">
        <f t="shared" ca="1" si="3"/>
        <v>13</v>
      </c>
      <c r="M144" s="3">
        <v>45239</v>
      </c>
      <c r="N144" s="3">
        <v>45300</v>
      </c>
      <c r="O144" s="3">
        <v>45280</v>
      </c>
      <c r="P144" s="3" t="s">
        <v>253</v>
      </c>
      <c r="Q144" t="s">
        <v>56</v>
      </c>
      <c r="R144" s="3">
        <v>45000</v>
      </c>
      <c r="S144" t="s">
        <v>30</v>
      </c>
      <c r="T144">
        <v>21</v>
      </c>
      <c r="V144">
        <v>5.166666666666667</v>
      </c>
    </row>
    <row r="145" spans="1:22" x14ac:dyDescent="0.3">
      <c r="A145">
        <v>43</v>
      </c>
      <c r="B145" t="s">
        <v>119</v>
      </c>
      <c r="C145" t="s">
        <v>26</v>
      </c>
      <c r="D145" t="s">
        <v>173</v>
      </c>
      <c r="E145" t="s">
        <v>25</v>
      </c>
      <c r="F145" s="3">
        <v>43099</v>
      </c>
      <c r="G145" t="s">
        <v>26</v>
      </c>
      <c r="H145">
        <v>1</v>
      </c>
      <c r="I145" s="3">
        <v>45009</v>
      </c>
      <c r="J145" t="s">
        <v>27</v>
      </c>
      <c r="K145" s="3">
        <v>45162</v>
      </c>
      <c r="L145">
        <f t="shared" ca="1" si="3"/>
        <v>8</v>
      </c>
      <c r="M145" s="3">
        <v>45248</v>
      </c>
      <c r="N145" s="3">
        <v>45309</v>
      </c>
      <c r="O145" s="3">
        <v>45289</v>
      </c>
      <c r="P145" s="3" t="s">
        <v>254</v>
      </c>
      <c r="Q145" t="s">
        <v>70</v>
      </c>
      <c r="R145" s="3">
        <v>45009</v>
      </c>
      <c r="S145" t="s">
        <v>30</v>
      </c>
      <c r="T145">
        <v>21</v>
      </c>
      <c r="V145">
        <v>155</v>
      </c>
    </row>
    <row r="146" spans="1:22" x14ac:dyDescent="0.3">
      <c r="A146">
        <v>44</v>
      </c>
      <c r="B146" t="s">
        <v>272</v>
      </c>
      <c r="C146" t="s">
        <v>26</v>
      </c>
      <c r="D146" t="s">
        <v>121</v>
      </c>
      <c r="E146" t="s">
        <v>25</v>
      </c>
      <c r="F146" s="3">
        <v>43140</v>
      </c>
      <c r="G146" t="s">
        <v>26</v>
      </c>
      <c r="H146">
        <v>1</v>
      </c>
      <c r="I146" s="3">
        <v>45012</v>
      </c>
      <c r="J146" t="s">
        <v>27</v>
      </c>
      <c r="K146" s="3">
        <v>45162</v>
      </c>
      <c r="L146">
        <f t="shared" ca="1" si="3"/>
        <v>8</v>
      </c>
      <c r="M146" s="3">
        <v>45251</v>
      </c>
      <c r="N146" s="3">
        <v>45312</v>
      </c>
      <c r="O146" s="3">
        <v>45292</v>
      </c>
      <c r="P146" s="3" t="s">
        <v>255</v>
      </c>
      <c r="Q146" t="s">
        <v>70</v>
      </c>
      <c r="R146" s="3">
        <v>45012</v>
      </c>
      <c r="S146" t="s">
        <v>30</v>
      </c>
      <c r="T146">
        <v>21</v>
      </c>
      <c r="V146">
        <v>210</v>
      </c>
    </row>
    <row r="147" spans="1:22" x14ac:dyDescent="0.3">
      <c r="A147">
        <v>45</v>
      </c>
      <c r="B147" t="s">
        <v>275</v>
      </c>
      <c r="C147" t="s">
        <v>26</v>
      </c>
      <c r="D147" t="s">
        <v>123</v>
      </c>
      <c r="E147" t="s">
        <v>25</v>
      </c>
      <c r="F147" s="3">
        <v>43141</v>
      </c>
      <c r="G147" t="s">
        <v>26</v>
      </c>
      <c r="H147">
        <v>1</v>
      </c>
      <c r="I147" s="3">
        <v>45013</v>
      </c>
      <c r="J147" t="s">
        <v>27</v>
      </c>
      <c r="K147" s="3">
        <v>45162</v>
      </c>
      <c r="L147">
        <f t="shared" ca="1" si="3"/>
        <v>8</v>
      </c>
      <c r="M147" s="3">
        <v>45252</v>
      </c>
      <c r="N147" s="3">
        <v>45313</v>
      </c>
      <c r="O147" s="3">
        <v>45293</v>
      </c>
      <c r="P147" s="3" t="s">
        <v>256</v>
      </c>
      <c r="Q147" t="s">
        <v>70</v>
      </c>
      <c r="R147" s="3">
        <v>45013</v>
      </c>
      <c r="S147" t="s">
        <v>94</v>
      </c>
      <c r="T147">
        <v>24</v>
      </c>
      <c r="V147">
        <v>180</v>
      </c>
    </row>
    <row r="148" spans="1:22" x14ac:dyDescent="0.3">
      <c r="A148">
        <v>48</v>
      </c>
      <c r="B148">
        <v>44012</v>
      </c>
      <c r="C148" t="s">
        <v>40</v>
      </c>
      <c r="D148" t="s">
        <v>125</v>
      </c>
      <c r="E148" t="s">
        <v>42</v>
      </c>
      <c r="F148" s="3">
        <v>41761</v>
      </c>
      <c r="G148" t="s">
        <v>26</v>
      </c>
      <c r="H148">
        <v>3</v>
      </c>
      <c r="I148" s="3">
        <v>45023</v>
      </c>
      <c r="J148" t="s">
        <v>27</v>
      </c>
      <c r="K148" s="3">
        <v>45162</v>
      </c>
      <c r="L148">
        <f t="shared" ca="1" si="3"/>
        <v>11</v>
      </c>
      <c r="M148" s="3">
        <v>45292</v>
      </c>
      <c r="N148" s="3">
        <v>45323</v>
      </c>
      <c r="O148" s="3">
        <v>45303</v>
      </c>
      <c r="P148" s="3" t="s">
        <v>257</v>
      </c>
      <c r="Q148" t="s">
        <v>70</v>
      </c>
      <c r="R148" s="3">
        <v>45023</v>
      </c>
      <c r="S148" t="s">
        <v>94</v>
      </c>
      <c r="T148">
        <v>21</v>
      </c>
      <c r="V148">
        <v>135</v>
      </c>
    </row>
    <row r="149" spans="1:22" x14ac:dyDescent="0.3">
      <c r="A149">
        <v>49</v>
      </c>
      <c r="B149">
        <v>42064</v>
      </c>
      <c r="C149" t="s">
        <v>40</v>
      </c>
      <c r="D149" t="s">
        <v>128</v>
      </c>
      <c r="E149" t="s">
        <v>42</v>
      </c>
      <c r="F149" s="3">
        <v>41255</v>
      </c>
      <c r="G149" t="s">
        <v>26</v>
      </c>
      <c r="H149">
        <v>4</v>
      </c>
      <c r="I149" s="3">
        <v>45034</v>
      </c>
      <c r="J149" t="s">
        <v>27</v>
      </c>
      <c r="K149" s="3">
        <v>45162</v>
      </c>
      <c r="L149">
        <f t="shared" ca="1" si="3"/>
        <v>13</v>
      </c>
      <c r="M149" s="3">
        <v>45303</v>
      </c>
      <c r="N149" s="3">
        <v>45334</v>
      </c>
      <c r="O149" s="3">
        <v>45314</v>
      </c>
      <c r="P149" s="3" t="s">
        <v>258</v>
      </c>
      <c r="Q149" t="s">
        <v>70</v>
      </c>
      <c r="R149" s="3">
        <v>45034</v>
      </c>
      <c r="S149" t="s">
        <v>30</v>
      </c>
      <c r="T149">
        <v>21</v>
      </c>
      <c r="V149">
        <v>217</v>
      </c>
    </row>
    <row r="150" spans="1:22" x14ac:dyDescent="0.3">
      <c r="A150">
        <v>50</v>
      </c>
      <c r="B150">
        <v>3779</v>
      </c>
      <c r="C150" t="s">
        <v>40</v>
      </c>
      <c r="D150" t="s">
        <v>130</v>
      </c>
      <c r="E150" t="s">
        <v>42</v>
      </c>
      <c r="F150" s="3">
        <v>43166</v>
      </c>
      <c r="G150" t="s">
        <v>26</v>
      </c>
      <c r="H150">
        <v>1</v>
      </c>
      <c r="I150" s="3">
        <v>45034</v>
      </c>
      <c r="J150" t="s">
        <v>27</v>
      </c>
      <c r="K150" s="3">
        <v>45162</v>
      </c>
      <c r="L150">
        <f t="shared" ref="L150:L155" ca="1" si="4">DATEDIF(F150, TODAY(), "Y")</f>
        <v>7</v>
      </c>
      <c r="M150" s="3">
        <v>45303</v>
      </c>
      <c r="N150" s="3">
        <v>45334</v>
      </c>
      <c r="O150" s="3">
        <v>45314</v>
      </c>
      <c r="P150" s="3" t="s">
        <v>258</v>
      </c>
      <c r="Q150" t="s">
        <v>70</v>
      </c>
      <c r="R150" s="3">
        <v>45034</v>
      </c>
      <c r="S150" t="s">
        <v>30</v>
      </c>
      <c r="T150">
        <v>21</v>
      </c>
      <c r="V150">
        <v>6.5</v>
      </c>
    </row>
    <row r="151" spans="1:22" x14ac:dyDescent="0.3">
      <c r="A151">
        <v>51</v>
      </c>
      <c r="B151">
        <v>42062</v>
      </c>
      <c r="C151" t="s">
        <v>40</v>
      </c>
      <c r="D151" t="s">
        <v>132</v>
      </c>
      <c r="E151" t="s">
        <v>25</v>
      </c>
      <c r="F151" s="3">
        <v>41246</v>
      </c>
      <c r="G151" t="s">
        <v>26</v>
      </c>
      <c r="H151">
        <v>5</v>
      </c>
      <c r="I151" s="3">
        <v>45052</v>
      </c>
      <c r="J151" t="s">
        <v>27</v>
      </c>
      <c r="K151" s="3">
        <v>45162</v>
      </c>
      <c r="L151">
        <f t="shared" ca="1" si="4"/>
        <v>13</v>
      </c>
      <c r="M151" s="3">
        <v>45292</v>
      </c>
      <c r="N151" s="3">
        <v>45352</v>
      </c>
      <c r="O151" s="3">
        <v>45332</v>
      </c>
      <c r="P151" s="3" t="s">
        <v>259</v>
      </c>
      <c r="Q151" t="s">
        <v>70</v>
      </c>
      <c r="R151" s="3">
        <v>45052</v>
      </c>
      <c r="S151" t="s">
        <v>94</v>
      </c>
      <c r="T151">
        <v>21</v>
      </c>
      <c r="V151">
        <v>1155</v>
      </c>
    </row>
    <row r="152" spans="1:22" x14ac:dyDescent="0.3">
      <c r="A152">
        <v>52</v>
      </c>
      <c r="B152" t="s">
        <v>278</v>
      </c>
      <c r="C152" t="s">
        <v>26</v>
      </c>
      <c r="D152" t="s">
        <v>135</v>
      </c>
      <c r="E152" t="s">
        <v>25</v>
      </c>
      <c r="F152" s="3">
        <v>42739</v>
      </c>
      <c r="G152" t="s">
        <v>26</v>
      </c>
      <c r="H152">
        <v>1</v>
      </c>
      <c r="I152" s="3">
        <v>45066</v>
      </c>
      <c r="J152" t="s">
        <v>27</v>
      </c>
      <c r="K152" s="3">
        <v>45162</v>
      </c>
      <c r="L152">
        <f t="shared" ca="1" si="4"/>
        <v>9</v>
      </c>
      <c r="M152" s="3">
        <v>45306</v>
      </c>
      <c r="N152" s="3">
        <v>45366</v>
      </c>
      <c r="O152" s="3">
        <v>45346</v>
      </c>
      <c r="P152" s="3" t="s">
        <v>260</v>
      </c>
      <c r="Q152" t="s">
        <v>70</v>
      </c>
      <c r="R152" s="3">
        <v>45066</v>
      </c>
      <c r="S152" t="s">
        <v>94</v>
      </c>
      <c r="T152">
        <v>21</v>
      </c>
      <c r="V152">
        <v>0</v>
      </c>
    </row>
    <row r="153" spans="1:22" x14ac:dyDescent="0.3">
      <c r="A153">
        <v>53</v>
      </c>
      <c r="B153">
        <v>4807</v>
      </c>
      <c r="C153" t="s">
        <v>26</v>
      </c>
      <c r="D153" t="s">
        <v>136</v>
      </c>
      <c r="E153" t="s">
        <v>42</v>
      </c>
      <c r="F153" s="3">
        <v>43118</v>
      </c>
      <c r="G153" t="s">
        <v>26</v>
      </c>
      <c r="H153">
        <v>2</v>
      </c>
      <c r="I153" s="3">
        <v>45069</v>
      </c>
      <c r="J153" t="s">
        <v>27</v>
      </c>
      <c r="K153" s="3">
        <v>45162</v>
      </c>
      <c r="L153">
        <f t="shared" ca="1" si="4"/>
        <v>8</v>
      </c>
      <c r="M153" s="3">
        <v>45309</v>
      </c>
      <c r="N153" s="3">
        <v>45369</v>
      </c>
      <c r="O153" s="3">
        <v>45349</v>
      </c>
      <c r="P153" s="3" t="s">
        <v>261</v>
      </c>
      <c r="Q153" t="s">
        <v>70</v>
      </c>
      <c r="R153" s="3">
        <v>45069</v>
      </c>
      <c r="S153" t="s">
        <v>30</v>
      </c>
      <c r="T153">
        <v>24</v>
      </c>
      <c r="V153">
        <v>6.32258064516129</v>
      </c>
    </row>
    <row r="154" spans="1:22" x14ac:dyDescent="0.3">
      <c r="A154">
        <v>54</v>
      </c>
      <c r="B154" t="s">
        <v>137</v>
      </c>
      <c r="C154" t="s">
        <v>26</v>
      </c>
      <c r="D154" t="s">
        <v>33</v>
      </c>
      <c r="E154" t="s">
        <v>42</v>
      </c>
      <c r="F154" s="3">
        <v>40461</v>
      </c>
      <c r="G154" t="s">
        <v>26</v>
      </c>
      <c r="H154">
        <v>5</v>
      </c>
      <c r="I154" s="3">
        <v>45070</v>
      </c>
      <c r="J154" t="s">
        <v>27</v>
      </c>
      <c r="K154" s="3">
        <v>45162</v>
      </c>
      <c r="L154">
        <f t="shared" ca="1" si="4"/>
        <v>15</v>
      </c>
      <c r="M154" s="3">
        <v>45310</v>
      </c>
      <c r="N154" s="3">
        <v>45370</v>
      </c>
      <c r="O154" s="3">
        <v>45350</v>
      </c>
      <c r="P154" s="3" t="s">
        <v>262</v>
      </c>
      <c r="Q154" t="s">
        <v>70</v>
      </c>
      <c r="R154" s="3">
        <v>45070</v>
      </c>
      <c r="S154" t="s">
        <v>30</v>
      </c>
      <c r="T154">
        <v>24</v>
      </c>
      <c r="V154">
        <v>5.286516853932584</v>
      </c>
    </row>
    <row r="155" spans="1:22" x14ac:dyDescent="0.3">
      <c r="A155">
        <v>56</v>
      </c>
      <c r="B155" t="s">
        <v>281</v>
      </c>
      <c r="C155" t="s">
        <v>26</v>
      </c>
      <c r="D155" t="s">
        <v>140</v>
      </c>
      <c r="E155" t="s">
        <v>42</v>
      </c>
      <c r="F155" s="3">
        <v>43142</v>
      </c>
      <c r="G155" t="s">
        <v>26</v>
      </c>
      <c r="H155">
        <v>1</v>
      </c>
      <c r="I155" s="3">
        <v>45076</v>
      </c>
      <c r="J155" t="s">
        <v>27</v>
      </c>
      <c r="K155" s="3">
        <v>45162</v>
      </c>
      <c r="L155">
        <f t="shared" ca="1" si="4"/>
        <v>8</v>
      </c>
      <c r="M155" s="3">
        <v>45347</v>
      </c>
      <c r="N155" s="3">
        <v>45376</v>
      </c>
      <c r="O155" s="3">
        <v>45356</v>
      </c>
      <c r="P155" s="3" t="s">
        <v>263</v>
      </c>
      <c r="Q155" t="s">
        <v>70</v>
      </c>
      <c r="R155" s="3">
        <v>45076</v>
      </c>
      <c r="S155" t="s">
        <v>30</v>
      </c>
      <c r="T155">
        <v>21</v>
      </c>
      <c r="V155">
        <v>1897.5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WADUGE S U it22001184</cp:lastModifiedBy>
  <dcterms:created xsi:type="dcterms:W3CDTF">2026-02-20T19:13:38Z</dcterms:created>
  <dcterms:modified xsi:type="dcterms:W3CDTF">2026-02-21T05:01:59Z</dcterms:modified>
</cp:coreProperties>
</file>